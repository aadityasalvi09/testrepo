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Aaditya\Desktop\Data Courses\excel-project-coffee-sales-main\"/>
    </mc:Choice>
  </mc:AlternateContent>
  <xr:revisionPtr revIDLastSave="0" documentId="13_ncr:1_{FE67A076-EF77-450A-960F-B65761CCF87F}" xr6:coauthVersionLast="47" xr6:coauthVersionMax="47" xr10:uidLastSave="{00000000-0000-0000-0000-000000000000}"/>
  <bookViews>
    <workbookView xWindow="-110" yWindow="-110" windowWidth="19420" windowHeight="11500" xr2:uid="{00000000-000D-0000-FFFF-FFFF00000000}"/>
  </bookViews>
  <sheets>
    <sheet name="Dashboard" sheetId="23" r:id="rId1"/>
    <sheet name="TotalSales" sheetId="18" r:id="rId2"/>
    <sheet name="CountryBarChart" sheetId="21" r:id="rId3"/>
    <sheet name="Top5Customers"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1001"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<sst xmlns="http://schemas.openxmlformats.org/spreadsheetml/2006/main" count="11128" uniqueCount="6221">
  <si>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</si>
  <si>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</si>
  <si>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</si>
  <si>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</si>
  <si>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</si>
  <si>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</si>
  <si>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</si>
  <si>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</si>
  <si>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</si>
  <si>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</si>
  <si>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</si>
  <si>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</si>
  <si>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</si>
  <si>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</si>
  <si>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</si>
  <si>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</si>
  <si>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</si>
  <si>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</si>
  <si>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</si>
  <si>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</si>
  <si>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</si>
  <si>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</si>
  <si>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</si>
  <si>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</si>
  <si>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</si>
  <si>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</si>
  <si>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</si>
  <si>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</si>
  <si>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</si>
  <si>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</si>
  <si>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</si>
  <si>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</si>
  <si>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</si>
  <si>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</si>
  <si>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</si>
  <si>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</si>
  <si>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</si>
  <si>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</si>
  <si>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</si>
  <si>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</si>
  <si>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</si>
  <si>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</si>
  <si>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</si>
  <si>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</si>
  <si>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</si>
  <si>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</si>
  <si>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</si>
  <si>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</si>
  <si>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</si>
  <si>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</si>
  <si>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</si>
  <si>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</si>
  <si>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</si>
  <si>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</si>
  <si>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</si>
  <si>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</si>
  <si>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</si>
  <si>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</si>
  <si>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</si>
  <si>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</si>
  <si>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</si>
  <si>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</si>
  <si>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</si>
  <si>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</si>
  <si>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</si>
  <si>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</si>
  <si>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</si>
  <si>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</si>
  <si>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</si>
  <si>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</si>
  <si>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</si>
  <si>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</si>
  <si>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</si>
  <si>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</si>
  <si>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</si>
  <si>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</si>
  <si>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</si>
  <si>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</si>
  <si>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</si>
  <si>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</si>
  <si>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</si>
  <si>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</si>
  <si>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</si>
  <si>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</si>
  <si>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</si>
  <si>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</si>
  <si>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</si>
  <si>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</si>
  <si>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</si>
  <si>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</si>
  <si>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</si>
  <si>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</si>
  <si>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</si>
  <si>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</si>
  <si>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</si>
  <si>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</si>
  <si>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</si>
  <si>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</si>
  <si>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</si>
  <si>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</si>
  <si>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</si>
  <si>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</si>
  <si>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</si>
  <si>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</si>
  <si>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</si>
  <si>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</si>
  <si>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</si>
  <si>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</si>
  <si>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</si>
  <si>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</si>
  <si>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</si>
  <si>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</si>
  <si>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</si>
  <si>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</si>
  <si>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</si>
  <si>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</si>
  <si>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</si>
  <si>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</si>
  <si>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</si>
  <si>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</si>
  <si>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</si>
  <si>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</si>
  <si>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</si>
  <si>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</si>
  <si>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</si>
  <si>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</si>
  <si>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</si>
  <si>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</si>
  <si>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</si>
  <si>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</si>
  <si>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</si>
  <si>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</si>
  <si>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</si>
  <si>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</si>
  <si>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</si>
  <si>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</si>
  <si>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</si>
  <si>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</si>
  <si>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</si>
  <si>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</si>
  <si>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</si>
  <si>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</si>
  <si>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</si>
  <si>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</si>
  <si>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</si>
  <si>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</si>
  <si>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</si>
  <si>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</si>
  <si>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</si>
  <si>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</si>
  <si>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</si>
  <si>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</si>
  <si>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</si>
  <si>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</si>
  <si>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</si>
  <si>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</si>
  <si>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</si>
  <si>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</si>
  <si>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</si>
  <si>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</si>
  <si>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</si>
  <si>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</si>
  <si>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</si>
  <si>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</si>
  <si>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</si>
  <si>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</si>
  <si>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</si>
  <si>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</si>
  <si>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</si>
  <si>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</si>
  <si>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</si>
  <si>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</si>
  <si>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</si>
  <si>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</si>
  <si>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</si>
  <si>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</si>
  <si>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</si>
  <si>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</si>
  <si>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</si>
  <si>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</si>
  <si>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</si>
  <si>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</si>
  <si>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</si>
  <si>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</si>
  <si>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</si>
  <si>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</si>
  <si>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</si>
  <si>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</si>
  <si>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</si>
  <si>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</si>
  <si>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</si>
  <si>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</si>
  <si>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</si>
  <si>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</si>
  <si>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</si>
  <si>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</si>
  <si>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</si>
  <si>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</si>
  <si>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</si>
  <si>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</si>
  <si>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</si>
  <si>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</si>
  <si>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</si>
  <si>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</si>
  <si>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</si>
  <si>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</si>
  <si>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</si>
  <si>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</si>
  <si>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</si>
  <si>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</si>
  <si>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</si>
  <si>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</si>
  <si>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</si>
  <si>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</si>
  <si>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</si>
  <si>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</si>
  <si>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</si>
  <si>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</si>
  <si>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</si>
  <si>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</si>
  <si>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</si>
  <si>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</si>
  <si>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</si>
  <si>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</si>
  <si>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</si>
  <si>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</si>
  <si>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</si>
  <si>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</si>
  <si>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</si>
  <si>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</si>
  <si>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</si>
  <si>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</si>
  <si>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</si>
  <si>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</si>
  <si>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</si>
  <si>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</si>
  <si>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</si>
  <si>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</si>
  <si>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</si>
  <si>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</si>
  <si>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</si>
  <si>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</si>
  <si>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</si>
  <si>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</si>
  <si>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</si>
  <si>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</si>
  <si>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</si>
  <si>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</si>
  <si>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</si>
  <si>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</si>
  <si>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</si>
  <si>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</si>
  <si>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</si>
  <si>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</si>
  <si>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</si>
  <si>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</si>
  <si>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</si>
  <si>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</si>
  <si>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</si>
  <si>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</si>
  <si>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</si>
  <si>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</si>
  <si>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</si>
  <si>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</si>
  <si>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</si>
  <si>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</si>
  <si>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</si>
  <si>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</si>
  <si>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</si>
  <si>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</si>
  <si>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</si>
  <si>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</si>
  <si>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</si>
  <si>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</si>
  <si>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</si>
  <si>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</si>
  <si>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</si>
  <si>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</si>
  <si>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</si>
  <si>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</si>
  <si>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</si>
  <si>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</si>
  <si>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</si>
  <si>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</si>
  <si>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</si>
  <si>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</si>
  <si>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</si>
  <si>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</si>
  <si>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</si>
  <si>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</si>
  <si>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</si>
  <si>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</si>
  <si>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</si>
  <si>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</si>
  <si>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</si>
  <si>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</si>
  <si>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</si>
  <si>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</si>
  <si>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</si>
  <si>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</si>
  <si>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</si>
  <si>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</si>
  <si>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</si>
  <si>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</si>
  <si>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</si>
  <si>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</si>
  <si>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</si>
  <si>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</si>
  <si>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</si>
  <si>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</si>
  <si>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</si>
  <si>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</si>
  <si>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</si>
  <si>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</si>
  <si>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</si>
  <si>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</si>
  <si>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</si>
  <si>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</si>
  <si>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</si>
  <si>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</si>
  <si>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</si>
  <si>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</si>
  <si>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</si>
  <si>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</si>
  <si>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</si>
  <si>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</si>
  <si>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</si>
  <si>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</si>
  <si>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</si>
  <si>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</si>
  <si>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</si>
  <si>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</si>
  <si>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</si>
  <si>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</si>
  <si>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</si>
  <si>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</si>
  <si>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</si>
  <si>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</si>
  <si>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</si>
  <si>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</si>
  <si>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</si>
  <si>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</si>
  <si>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</si>
  <si>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</si>
  <si>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</si>
  <si>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</si>
  <si>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</si>
  <si>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</si>
  <si>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</si>
  <si>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</si>
  <si>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</si>
  <si>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</si>
  <si>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</si>
  <si>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</si>
  <si>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</si>
  <si>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</si>
  <si>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</si>
  <si>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</si>
  <si>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</si>
  <si>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</si>
  <si>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</si>
  <si>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</si>
  <si>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</si>
  <si>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</si>
  <si>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</si>
  <si>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</si>
  <si>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</si>
  <si>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</si>
  <si>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</si>
  <si>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</si>
  <si>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</si>
  <si>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</si>
  <si>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</si>
  <si>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</si>
  <si>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</si>
  <si>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</si>
  <si>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</si>
  <si>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</si>
  <si>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</si>
  <si>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</si>
  <si>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</si>
  <si>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</si>
  <si>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</si>
  <si>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</si>
  <si>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</si>
  <si>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</si>
  <si>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</si>
  <si>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</si>
  <si>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</si>
  <si>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</si>
  <si>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</si>
  <si>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</si>
  <si>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</si>
  <si>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</si>
  <si>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</si>
  <si>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</si>
  <si>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</si>
  <si>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</si>
  <si>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</si>
  <si>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</si>
  <si>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</si>
  <si>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</si>
  <si>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</si>
  <si>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</si>
  <si>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</si>
  <si>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</si>
  <si>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</si>
  <si>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</si>
  <si>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</si>
  <si>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</si>
  <si>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</si>
  <si>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</si>
  <si>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</si>
  <si>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</si>
  <si>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</si>
  <si>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</si>
  <si>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</si>
  <si>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</si>
  <si>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</si>
  <si>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</si>
  <si>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</si>
  <si>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</si>
  <si>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</si>
  <si>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</si>
  <si>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</si>
  <si>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</si>
  <si>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</si>
  <si>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</si>
  <si>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</si>
  <si>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</si>
  <si>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</si>
  <si>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</si>
  <si>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</si>
  <si>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</si>
  <si>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</si>
  <si>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</si>
  <si>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</si>
  <si>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</si>
  <si>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</si>
  <si>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</si>
  <si>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</si>
  <si>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</si>
  <si>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</si>
  <si>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</si>
  <si>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</si>
  <si>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</si>
  <si>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</si>
  <si>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</si>
  <si>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</si>
  <si>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</si>
  <si>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</si>
  <si>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</si>
  <si>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</si>
  <si>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</si>
  <si>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</si>
  <si>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</si>
  <si>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</si>
  <si>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</si>
  <si>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</si>
  <si>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</si>
  <si>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</si>
  <si>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</si>
  <si>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</si>
  <si>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</si>
  <si>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</si>
  <si>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</si>
  <si>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</si>
  <si>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</si>
  <si>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</si>
  <si>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</si>
  <si>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</si>
  <si>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</si>
  <si>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</si>
  <si>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</si>
  <si>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</si>
  <si>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</si>
  <si>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</si>
  <si>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</si>
  <si>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</si>
  <si>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</si>
  <si>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</si>
  <si>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</si>
  <si>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</si>
  <si>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</si>
  <si>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</si>
  <si>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</si>
  <si>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</si>
  <si>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</si>
  <si>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</si>
  <si>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</si>
  <si>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</si>
  <si>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</si>
  <si>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</si>
  <si>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</si>
  <si>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</si>
  <si>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</si>
  <si>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</si>
  <si>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</si>
  <si>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</si>
  <si>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</si>
  <si>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</si>
  <si>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</si>
  <si>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</si>
  <si>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</si>
  <si>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</si>
  <si>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</si>
  <si>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</si>
  <si>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</si>
  <si>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</si>
  <si>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</si>
  <si>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</si>
  <si>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</si>
  <si>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</si>
  <si>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</si>
  <si>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</si>
  <si>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</si>
  <si>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</si>
  <si>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</si>
  <si>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</si>
  <si>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</si>
  <si>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</si>
  <si>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</si>
  <si>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</si>
  <si>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</si>
  <si>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</si>
  <si>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</si>
  <si>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</si>
  <si>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</si>
  <si>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</si>
  <si>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</si>
  <si>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</si>
  <si>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</si>
  <si>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</si>
  <si>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</si>
  <si>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</si>
  <si>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</si>
  <si>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</si>
  <si>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</si>
  <si>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</si>
  <si>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</si>
  <si>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</si>
  <si>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</si>
  <si>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</si>
  <si>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</si>
  <si>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</si>
  <si>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</si>
  <si>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</si>
  <si>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</si>
  <si>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</si>
  <si>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</si>
  <si>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</si>
  <si>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</si>
  <si>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</si>
  <si>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</si>
  <si>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</si>
  <si>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</si>
  <si>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</si>
  <si>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</si>
  <si>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</si>
  <si>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</si>
  <si>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</si>
  <si>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</si>
  <si>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</si>
  <si>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</si>
  <si>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</si>
  <si>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</si>
  <si>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</si>
  <si>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</si>
  <si>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</si>
  <si>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</si>
  <si>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</si>
  <si>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</si>
  <si>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</si>
  <si>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</si>
  <si>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</si>
  <si>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</si>
  <si>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</si>
  <si>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</si>
  <si>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</si>
  <si>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</si>
  <si>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</si>
  <si>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</si>
  <si>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</si>
  <si>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</si>
  <si>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</si>
  <si>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</si>
  <si>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</si>
  <si>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</si>
  <si>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</si>
  <si>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</si>
  <si>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</si>
  <si>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</si>
  <si>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</si>
  <si>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</si>
  <si>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</si>
  <si>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</si>
  <si>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</si>
  <si>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</si>
  <si>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</si>
  <si>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</si>
  <si>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</si>
  <si>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</si>
  <si>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</si>
  <si>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</si>
  <si>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</si>
  <si>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</si>
  <si>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</si>
  <si>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</si>
  <si>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</si>
  <si>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</si>
  <si>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</si>
  <si>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</si>
  <si>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</si>
  <si>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</si>
  <si>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</si>
  <si>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</si>
  <si>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</si>
  <si>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</si>
  <si>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</si>
  <si>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</si>
  <si>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</si>
  <si>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</si>
  <si>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</si>
  <si>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</si>
  <si>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</si>
  <si>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</si>
  <si>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</si>
  <si>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</si>
  <si>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</si>
  <si>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</si>
  <si>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</si>
  <si>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</si>
  <si>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</si>
  <si>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</si>
  <si>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</si>
  <si>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</si>
  <si>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</si>
  <si>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</si>
  <si>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</si>
  <si>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</si>
  <si>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</si>
  <si>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</si>
  <si>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</si>
  <si>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</si>
  <si>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</si>
  <si>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</si>
  <si>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</si>
  <si>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</si>
  <si>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</si>
  <si>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</si>
  <si>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</si>
  <si>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</si>
  <si>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</si>
  <si>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</si>
  <si>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</si>
  <si>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</si>
  <si>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</si>
  <si>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</si>
  <si>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</si>
  <si>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</si>
  <si>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</si>
  <si>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</si>
  <si>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</si>
  <si>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</si>
  <si>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</si>
  <si>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</si>
  <si>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</si>
  <si>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</si>
  <si>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</si>
  <si>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</si>
  <si>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</si>
  <si>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</si>
  <si>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</si>
  <si>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</si>
  <si>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</si>
  <si>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</si>
  <si>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</si>
  <si>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</si>
  <si>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</si>
  <si>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</si>
  <si>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</si>
  <si>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</si>
  <si>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</si>
  <si>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</si>
  <si>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</si>
  <si>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</si>
  <si>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</si>
  <si>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</si>
  <si>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</si>
  <si>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</si>
  <si>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</si>
  <si>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</si>
  <si>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</si>
  <si>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</si>
  <si>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</si>
  <si>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</si>
  <si>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</si>
  <si>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</si>
  <si>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</si>
  <si>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</si>
  <si>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</si>
  <si>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</si>
  <si>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</si>
  <si>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</si>
  <si>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</si>
  <si>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</si>
  <si>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</si>
  <si>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</si>
  <si>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</si>
  <si>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</si>
  <si>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</si>
  <si>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</si>
  <si>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</si>
  <si>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</si>
  <si>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</si>
  <si>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</si>
  <si>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</si>
  <si>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</si>
  <si>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</si>
  <si>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</si>
  <si>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</si>
  <si>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</si>
  <si>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</si>
  <si>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</si>
  <si>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</si>
  <si>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</si>
  <si>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</si>
  <si>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</si>
  <si>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</si>
  <si>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</si>
  <si>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</si>
  <si>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</si>
  <si>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</si>
  <si>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</si>
  <si>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</si>
  <si>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</si>
  <si>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</si>
  <si>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</si>
  <si>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</si>
  <si>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</si>
  <si>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</si>
  <si>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</si>
  <si>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</si>
  <si>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</si>
  <si>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</si>
  <si>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</si>
  <si>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</si>
  <si>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</si>
  <si>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</si>
  <si>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</si>
  <si>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</si>
  <si>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</si>
  <si>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</si>
  <si>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</si>
  <si>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</si>
  <si>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</si>
  <si>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</si>
  <si>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</si>
  <si>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</si>
  <si>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</si>
  <si>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</si>
  <si>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</si>
  <si>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</si>
  <si>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</si>
  <si>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</si>
  <si>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</si>
  <si>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</si>
  <si>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</si>
  <si>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</si>
  <si>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</si>
  <si>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</si>
  <si>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</si>
  <si>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</si>
  <si>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</si>
  <si>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</si>
  <si>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</si>
  <si>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</si>
  <si>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</si>
  <si>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</si>
  <si>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</si>
  <si>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</si>
  <si>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</si>
  <si>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</si>
  <si>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</si>
  <si>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</si>
  <si>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</si>
  <si>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</si>
  <si>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</si>
  <si>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</si>
  <si>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</si>
  <si>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</si>
  <si>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</si>
  <si>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</si>
  <si>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</si>
  <si>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</si>
  <si>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</si>
  <si>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</si>
  <si>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</si>
  <si>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</si>
  <si>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</si>
  <si>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</si>
  <si>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</si>
  <si>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</si>
  <si>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</si>
  <si>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</si>
  <si>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</si>
  <si>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</si>
  <si>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</si>
  <si>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</si>
  <si>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</si>
  <si>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</si>
  <si>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</si>
  <si>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</si>
  <si>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</si>
  <si>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</si>
  <si>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</si>
  <si>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</si>
  <si>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</si>
  <si>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</si>
  <si>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</si>
  <si>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</si>
  <si>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</si>
  <si>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</si>
  <si>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</si>
  <si>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</si>
  <si>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</si>
  <si>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</si>
  <si>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</si>
  <si>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</si>
  <si>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</si>
  <si>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</si>
  <si>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</si>
  <si>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</si>
  <si>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</si>
  <si>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</si>
  <si>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</si>
  <si>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</si>
  <si>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</si>
  <si>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</si>
  <si>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</si>
  <si>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</si>
  <si>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</si>
  <si>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</si>
  <si>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</si>
  <si>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</si>
  <si>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</si>
  <si>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</si>
  <si>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</si>
  <si>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</si>
  <si>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</si>
  <si>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</si>
  <si>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</si>
  <si>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</si>
  <si>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</si>
  <si>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</si>
  <si>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</si>
  <si>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</si>
  <si>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</si>
  <si>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</si>
  <si>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</si>
  <si>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</si>
  <si>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</si>
  <si>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</si>
  <si>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</si>
  <si>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</si>
  <si>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</si>
  <si>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</si>
  <si>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</si>
  <si>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</si>
  <si>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</si>
  <si>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</si>
  <si>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</si>
  <si>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</si>
  <si>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</si>
  <si>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</si>
  <si>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</si>
  <si>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</si>
  <si>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</si>
  <si>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</si>
  <si>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</si>
  <si>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</si>
  <si>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</si>
  <si>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</si>
  <si>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</si>
  <si>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</si>
  <si>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</si>
  <si>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</si>
  <si>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</si>
  <si>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</si>
  <si>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</si>
  <si>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</si>
  <si>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</si>
  <si>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</si>
  <si>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</si>
  <si>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</si>
  <si>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</si>
  <si>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</si>
  <si>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</si>
  <si>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</si>
  <si>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</si>
  <si>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</si>
  <si>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</si>
  <si>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</si>
  <si>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</si>
  <si>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</si>
  <si>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</si>
  <si>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</si>
  <si>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</si>
  <si>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</si>
  <si>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</si>
  <si>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</si>
  <si>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</si>
  <si>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</si>
  <si>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</si>
  <si>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</si>
  <si>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</si>
  <si>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</si>
  <si>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</si>
  <si>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</si>
  <si>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</si>
  <si>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</si>
  <si>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</si>
  <si>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</si>
  <si>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</si>
  <si>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</si>
  <si>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</si>
  <si>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</si>
  <si>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</si>
  <si>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</si>
  <si>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</si>
  <si>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</si>
  <si>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</si>
  <si>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</si>
  <si>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</si>
  <si>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</si>
  <si>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</si>
  <si>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</si>
  <si>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</si>
  <si>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</si>
  <si>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</si>
  <si>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</si>
  <si>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</si>
  <si>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</si>
  <si>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</si>
  <si>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</si>
  <si>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</si>
  <si>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</si>
  <si>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</si>
  <si>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</si>
  <si>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</si>
  <si>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</si>
  <si>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</si>
  <si>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</si>
  <si>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</si>
  <si>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</si>
  <si>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</si>
  <si>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</si>
  <si>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</si>
  <si>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</si>
  <si>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</si>
  <si>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</si>
  <si>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</si>
  <si>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</si>
  <si>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</si>
  <si>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</si>
  <si>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</si>
  <si>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</si>
  <si>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</si>
  <si>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</si>
  <si>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</si>
  <si>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</si>
  <si>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</si>
  <si>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</si>
  <si>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</si>
  <si>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</si>
  <si>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</si>
  <si>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</si>
  <si>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</si>
  <si>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</si>
  <si>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</si>
  <si>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</si>
  <si>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</si>
  <si>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</si>
  <si>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</si>
  <si>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</si>
  <si>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</si>
  <si>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</si>
  <si>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</si>
  <si>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</si>
  <si>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</si>
  <si>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</si>
  <si>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</si>
  <si>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</si>
  <si>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</si>
  <si>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</si>
  <si>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</si>
  <si>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</si>
  <si>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</si>
  <si>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</si>
  <si>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</si>
  <si>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</si>
  <si>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</si>
  <si>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</si>
  <si>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</si>
  <si>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</si>
  <si>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</si>
  <si>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</si>
  <si>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</si>
  <si>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</si>
  <si>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</si>
  <si>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</si>
  <si>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</si>
  <si>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</si>
  <si>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</si>
  <si>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</si>
  <si>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</si>
  <si>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</si>
  <si>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</si>
  <si>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</si>
  <si>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</si>
  <si>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</si>
  <si>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</si>
  <si>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</si>
  <si>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</si>
  <si>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</si>
  <si>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</si>
  <si>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</si>
  <si>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</si>
  <si>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</si>
  <si>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</si>
  <si>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</si>
  <si>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</si>
  <si>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</si>
  <si>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</si>
  <si>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</si>
  <si>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</si>
  <si>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</si>
  <si>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</si>
  <si>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</si>
  <si>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</si>
  <si>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</si>
  <si>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</si>
  <si>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</si>
  <si>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</si>
  <si>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</si>
  <si>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</si>
  <si>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</si>
  <si>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</si>
  <si>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</si>
  <si>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</si>
  <si>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</si>
  <si>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</si>
  <si>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</si>
  <si>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</si>
  <si>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</si>
  <si>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</si>
  <si>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</si>
  <si>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</si>
  <si>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</si>
  <si>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</si>
  <si>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</si>
  <si>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</si>
  <si>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</si>
  <si>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</si>
  <si>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</si>
  <si>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</si>
  <si>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</si>
  <si>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</si>
  <si>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</si>
  <si>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</si>
  <si>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</si>
  <si>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</si>
  <si>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</si>
  <si>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</si>
  <si>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</si>
  <si>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</si>
  <si>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</si>
  <si>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</si>
  <si>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</si>
  <si>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</si>
  <si>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</si>
  <si>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</si>
  <si>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</si>
  <si>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</si>
  <si>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</si>
  <si>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</si>
  <si>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</si>
  <si>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</si>
  <si>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</si>
  <si>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</si>
  <si>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</si>
  <si>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</si>
  <si>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</si>
  <si>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</si>
  <si>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</si>
  <si>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</si>
  <si>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</si>
  <si>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</si>
  <si>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</si>
  <si>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</si>
  <si>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</si>
  <si>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</si>
  <si>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</si>
  <si>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</si>
  <si>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</si>
  <si>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</si>
  <si>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</si>
  <si>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</si>
  <si>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</si>
  <si>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</si>
  <si>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</si>
  <si>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</si>
  <si>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</si>
  <si>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</si>
  <si>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</si>
  <si>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</si>
  <si>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</si>
  <si>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</si>
  <si>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</si>
  <si>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</si>
  <si>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</si>
  <si>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</si>
  <si>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</si>
  <si>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</si>
  <si>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</si>
  <si>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</si>
  <si>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</si>
  <si>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</si>
  <si>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</si>
  <si>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</si>
  <si>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</si>
  <si>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</si>
  <si>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</si>
  <si>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</si>
  <si>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</si>
  <si>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</si>
  <si>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</si>
  <si>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</si>
  <si>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</si>
  <si>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</si>
  <si>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</si>
  <si>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</si>
  <si>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</si>
  <si>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</si>
  <si>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</si>
  <si>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</si>
  <si>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</si>
  <si>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</si>
  <si>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</si>
  <si>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</si>
  <si>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</si>
  <si>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</si>
  <si>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</si>
  <si>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</si>
  <si>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</si>
  <si>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</si>
  <si>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</si>
  <si>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</si>
  <si>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</si>
  <si>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</si>
  <si>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</si>
  <si>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</si>
  <si>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</si>
  <si>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</si>
  <si>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</si>
  <si>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</si>
  <si>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</si>
  <si>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</si>
  <si>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</si>
  <si>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</si>
  <si>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</si>
  <si>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</si>
  <si>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</si>
  <si>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</si>
  <si>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</si>
  <si>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</si>
  <si>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</si>
  <si>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</si>
  <si>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</si>
  <si>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</si>
  <si>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</si>
  <si>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</si>
  <si>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</si>
  <si>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</si>
  <si>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</si>
  <si>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</si>
  <si>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</si>
  <si>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</si>
  <si>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</si>
  <si>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</si>
  <si>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</si>
  <si>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</si>
  <si>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</si>
  <si>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</si>
  <si>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</si>
  <si>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</si>
  <si>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</si>
  <si>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</si>
  <si>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</si>
  <si>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</si>
  <si>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</si>
  <si>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</si>
  <si>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</si>
  <si>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</si>
  <si>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</si>
  <si>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</si>
  <si>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</si>
  <si>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</si>
  <si>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</si>
  <si>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</si>
  <si>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</si>
  <si>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</si>
  <si>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</si>
  <si>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</si>
  <si>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</si>
  <si>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</si>
  <si>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</si>
  <si>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</si>
  <si>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</si>
  <si>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</si>
  <si>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</si>
  <si>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</si>
  <si>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</si>
  <si>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</si>
  <si>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</si>
  <si>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</si>
  <si>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</si>
  <si>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</si>
  <si>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</si>
  <si>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</si>
  <si>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</si>
  <si>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</si>
  <si>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</si>
  <si>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</si>
  <si>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</si>
  <si>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</si>
  <si>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</si>
  <si>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</si>
  <si>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</si>
  <si>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</si>
  <si>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</si>
  <si>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</si>
  <si>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</si>
  <si>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</si>
  <si>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</si>
  <si>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</si>
  <si>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</si>
  <si>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</si>
  <si>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</si>
  <si>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</si>
  <si>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</si>
  <si>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</si>
  <si>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</si>
  <si>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</si>
  <si>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</si>
  <si>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</si>
  <si>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</si>
  <si>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</si>
  <si>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</si>
  <si>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</si>
  <si>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</si>
  <si>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</si>
  <si>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</si>
  <si>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</si>
  <si>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</si>
  <si>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</si>
  <si>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</si>
  <si>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</si>
  <si>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</si>
  <si>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</si>
  <si>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</si>
  <si>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</si>
  <si>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</si>
  <si>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</si>
  <si>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</si>
  <si>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</si>
  <si>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</si>
  <si>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</si>
  <si>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</si>
  <si>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</si>
  <si>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</si>
  <si>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</si>
  <si>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</si>
  <si>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</si>
  <si>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</si>
  <si>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</si>
  <si>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</si>
  <si>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</si>
  <si>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</si>
  <si>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</si>
  <si>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</si>
  <si>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</si>
  <si>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</si>
  <si>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</si>
  <si>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</si>
  <si>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</si>
  <si>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</si>
  <si>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</si>
  <si>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</si>
  <si>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</si>
  <si>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</si>
  <si>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</si>
  <si>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</si>
  <si>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</si>
  <si>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</si>
  <si>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</si>
  <si>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</si>
  <si>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</si>
  <si>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</si>
  <si>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</si>
  <si>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</si>
  <si>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</si>
  <si>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</si>
  <si>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</si>
  <si>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</si>
  <si>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</si>
  <si>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</si>
  <si>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</si>
  <si>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</si>
  <si>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</si>
  <si>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</si>
  <si>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</si>
  <si>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</si>
  <si>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</si>
  <si>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</si>
  <si>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</si>
  <si>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</si>
  <si>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</si>
  <si>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</si>
  <si>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</si>
  <si>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</si>
  <si>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</si>
  <si>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</si>
  <si>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</si>
  <si>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</si>
  <si>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</si>
  <si>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</si>
  <si>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</si>
  <si>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</si>
  <si>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</si>
  <si>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</si>
  <si>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</si>
  <si>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</si>
  <si>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</si>
  <si>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</si>
  <si>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</si>
  <si>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</si>
  <si>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</si>
  <si>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</si>
  <si>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</si>
  <si>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</si>
  <si>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</si>
  <si>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</si>
  <si>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</si>
  <si>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</si>
  <si>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</si>
  <si>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</si>
  <si>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</si>
  <si>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</si>
  <si>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</si>
  <si>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</si>
  <si>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</si>
  <si>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</si>
  <si>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</si>
  <si>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</si>
  <si>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</si>
  <si>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</si>
  <si>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</si>
  <si>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</si>
  <si>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</si>
  <si>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</si>
  <si>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</si>
  <si>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</si>
  <si>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</si>
  <si>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</si>
  <si>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</si>
  <si>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</si>
  <si>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</si>
  <si>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</si>
  <si>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</si>
  <si>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</si>
  <si>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</si>
  <si>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</si>
  <si>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</si>
  <si>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</si>
  <si>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</si>
  <si>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</si>
  <si>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</si>
  <si>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</si>
  <si>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</si>
  <si>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</si>
  <si>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</si>
  <si>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</si>
  <si>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</si>
  <si>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</si>
  <si>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</si>
  <si>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</si>
  <si>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</si>
  <si>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</si>
  <si>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</si>
  <si>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</si>
  <si>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</si>
  <si>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</si>
  <si>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</si>
  <si>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</si>
  <si>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</si>
  <si>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</si>
  <si>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</si>
  <si>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</si>
  <si>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</si>
  <si>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</si>
  <si>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</si>
  <si>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</si>
  <si>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</si>
  <si>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</si>
  <si>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</si>
  <si>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</si>
  <si>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</si>
  <si>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</si>
  <si>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</si>
  <si>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</si>
  <si>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</si>
  <si>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</si>
  <si>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</si>
  <si>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</si>
  <si>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</si>
  <si>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</si>
  <si>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</si>
  <si>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</si>
  <si>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</si>
  <si>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</si>
  <si>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</si>
  <si>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</si>
  <si>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</si>
  <si>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</si>
  <si>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</si>
  <si>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</si>
  <si>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</si>
  <si>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</si>
  <si>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</si>
  <si>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</si>
  <si>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</si>
  <si>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</si>
  <si>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</si>
  <si>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</si>
  <si>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</si>
  <si>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</si>
  <si>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</si>
  <si>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</si>
  <si>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</si>
  <si>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</si>
  <si>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</si>
  <si>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</si>
  <si>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</si>
  <si>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</si>
  <si>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</si>
  <si>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</si>
  <si>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</si>
  <si>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</si>
  <si>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</si>
  <si>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</si>
  <si>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</si>
  <si>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</si>
  <si>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</si>
  <si>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</si>
  <si>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</si>
  <si>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</si>
  <si>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</si>
  <si>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</si>
  <si>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</si>
  <si>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</si>
  <si>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</si>
  <si>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</si>
  <si>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</si>
  <si>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</si>
  <si>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</si>
  <si>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</si>
  <si>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</si>
  <si>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</si>
  <si>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</si>
  <si>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</si>
  <si>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</si>
  <si>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</si>
  <si>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</si>
  <si>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</si>
  <si>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</si>
  <si>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</si>
  <si>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</si>
  <si>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</si>
  <si>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</si>
  <si>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</si>
  <si>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</si>
  <si>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</si>
  <si>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</si>
  <si>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</si>
  <si>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</si>
  <si>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</si>
  <si>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</si>
  <si>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</si>
  <si>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</si>
  <si>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</si>
  <si>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</si>
  <si>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</si>
  <si>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</si>
  <si>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</si>
  <si>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</si>
  <si>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</si>
  <si>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</si>
  <si>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</si>
  <si>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</si>
  <si>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</si>
  <si>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</si>
  <si>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</si>
  <si>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</si>
  <si>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</si>
  <si>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</si>
  <si>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</si>
  <si>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</si>
  <si>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</si>
  <si>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</si>
  <si>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</si>
  <si>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</si>
  <si>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</si>
  <si>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</si>
  <si>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</si>
  <si>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</si>
  <si>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</si>
  <si>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</si>
  <si>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</si>
  <si>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</si>
  <si>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</si>
  <si>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</si>
  <si>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</si>
  <si>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</si>
  <si>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</si>
  <si>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</si>
  <si>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</si>
  <si>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</si>
  <si>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</si>
  <si>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</si>
  <si>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</si>
  <si>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</si>
  <si>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</si>
  <si>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</si>
  <si>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</si>
  <si>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</si>
  <si>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</si>
  <si>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</si>
  <si>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</si>
  <si>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</si>
  <si>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</si>
  <si>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</si>
  <si>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</si>
  <si>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</si>
  <si>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</si>
  <si>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</si>
  <si>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</si>
  <si>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</si>
  <si>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</si>
  <si>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</si>
  <si>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</si>
  <si>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</si>
  <si>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</si>
  <si>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</si>
  <si>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</si>
  <si>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</si>
  <si>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</si>
  <si>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</si>
  <si>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</si>
  <si>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</si>
  <si>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</si>
  <si>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</si>
  <si>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</si>
  <si>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</si>
  <si>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</si>
  <si>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</si>
  <si>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</si>
  <si>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</si>
  <si>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</si>
  <si>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</si>
  <si>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</si>
  <si>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</si>
  <si>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</si>
  <si>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</si>
  <si>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</si>
  <si>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</si>
  <si>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</si>
  <si>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</si>
  <si>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</si>
  <si>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</si>
  <si>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</si>
  <si>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</si>
  <si>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</si>
  <si>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</si>
  <si>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</si>
  <si>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</si>
  <si>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</si>
  <si>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</si>
  <si>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</si>
  <si>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</si>
  <si>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</si>
  <si>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</si>
  <si>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</si>
  <si>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</si>
  <si>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</si>
  <si>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</si>
  <si>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</si>
  <si>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</si>
  <si>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</si>
  <si>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</si>
  <si>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</si>
  <si>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</si>
  <si>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</si>
  <si>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</si>
  <si>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</si>
  <si>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</si>
  <si>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</si>
  <si>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</si>
  <si>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</si>
  <si>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</si>
  <si>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</si>
  <si>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</si>
  <si>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</si>
  <si>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</si>
  <si>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</si>
  <si>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</si>
  <si>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</si>
  <si>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</si>
  <si>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</si>
  <si>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</si>
  <si>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</si>
  <si>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</si>
  <si>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</si>
  <si>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</si>
  <si>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</si>
  <si>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</si>
  <si>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</si>
  <si>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</si>
  <si>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</si>
  <si>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</si>
  <si>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</si>
  <si>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</si>
  <si>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</si>
  <si>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</si>
  <si>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</si>
  <si>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</si>
  <si>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</si>
  <si>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</si>
  <si>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</si>
  <si>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</si>
  <si>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</si>
  <si>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</si>
  <si>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</si>
  <si>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</si>
  <si>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</si>
  <si>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</si>
  <si>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</si>
  <si>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</si>
  <si>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</si>
  <si>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</si>
  <si>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</si>
  <si>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</si>
  <si>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</si>
  <si>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</si>
  <si>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</si>
  <si>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</si>
  <si>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</si>
  <si>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</si>
  <si>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</si>
  <si>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</si>
  <si>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</si>
  <si>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</si>
  <si>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</si>
  <si>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</si>
  <si>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</si>
  <si>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</si>
  <si>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</si>
  <si>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</si>
  <si>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</si>
  <si>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</si>
  <si>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</si>
  <si>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</si>
  <si>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</si>
  <si>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</si>
  <si>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</si>
  <si>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</si>
  <si>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</si>
  <si>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</si>
  <si>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</si>
  <si>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</si>
  <si>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</si>
  <si>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</si>
  <si>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</si>
  <si>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</si>
  <si>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</si>
  <si>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</si>
  <si>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</si>
  <si>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</si>
  <si>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</si>
  <si>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</si>
  <si>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</si>
  <si>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</si>
  <si>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</si>
  <si>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</si>
  <si>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</si>
  <si>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</si>
  <si>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</si>
  <si>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</si>
  <si>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</si>
  <si>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</si>
  <si>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</si>
  <si>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</si>
  <si>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</si>
  <si>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</si>
  <si>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</si>
  <si>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</si>
  <si>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</si>
  <si>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</si>
  <si>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</si>
  <si>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</si>
  <si>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</si>
  <si>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</si>
  <si>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</si>
  <si>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</si>
  <si>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</si>
  <si>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</si>
  <si>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</si>
  <si>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</si>
  <si>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</si>
  <si>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</si>
  <si>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</si>
  <si>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</si>
  <si>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</si>
  <si>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</si>
  <si>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</si>
  <si>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</si>
  <si>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</si>
  <si>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</si>
  <si>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</si>
  <si>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</si>
  <si>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</si>
  <si>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</si>
  <si>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</si>
  <si>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</si>
  <si>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</si>
  <si>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</si>
  <si>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</si>
  <si>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</si>
  <si>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</si>
  <si>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</si>
  <si>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</si>
  <si>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</si>
  <si>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</si>
  <si>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</si>
  <si>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</si>
  <si>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</si>
  <si>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</si>
  <si>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</si>
  <si>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</si>
  <si>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</si>
  <si>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</si>
  <si>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</si>
  <si>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</si>
  <si>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</si>
  <si>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</si>
  <si>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</si>
  <si>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</si>
  <si>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</si>
  <si>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</si>
  <si>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</si>
  <si>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</si>
  <si>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</si>
  <si>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</si>
  <si>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</si>
  <si>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</si>
  <si>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</si>
  <si>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</si>
  <si>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</si>
  <si>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</si>
  <si>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</si>
  <si>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</si>
  <si>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</si>
  <si>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</si>
  <si>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</si>
  <si>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</si>
  <si>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</si>
  <si>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</si>
  <si>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</si>
  <si>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</si>
  <si>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</si>
  <si>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</si>
  <si>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</si>
  <si>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</si>
  <si>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</si>
  <si>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</si>
  <si>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</si>
  <si>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</si>
  <si>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</si>
  <si>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</si>
  <si>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</si>
  <si>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</si>
  <si>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</si>
  <si>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</si>
  <si>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</si>
  <si>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</si>
  <si>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</si>
  <si>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</si>
  <si>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</si>
  <si>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</si>
  <si>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</si>
  <si>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</si>
  <si>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</si>
  <si>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</si>
  <si>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</si>
  <si>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</si>
  <si>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</si>
  <si>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</si>
  <si>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</si>
  <si>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</si>
  <si>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</si>
  <si>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</si>
  <si>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</si>
  <si>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</si>
  <si>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</si>
  <si>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</si>
  <si>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</si>
  <si>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</si>
  <si>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</si>
  <si>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</si>
  <si>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</si>
  <si>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</si>
  <si>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</si>
  <si>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</si>
  <si>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</si>
  <si>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</si>
  <si>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</si>
  <si>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</si>
  <si>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</si>
  <si>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</si>
  <si>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</si>
  <si>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</si>
  <si>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</si>
  <si>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</si>
  <si>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</si>
  <si>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</si>
  <si>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</si>
  <si>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</si>
  <si>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</si>
  <si>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</si>
  <si>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</si>
  <si>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</si>
  <si>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</si>
  <si>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</si>
  <si>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</si>
  <si>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</si>
  <si>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</si>
  <si>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</si>
  <si>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</si>
  <si>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</si>
  <si>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</si>
  <si>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</si>
  <si>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</si>
  <si>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</si>
  <si>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</si>
  <si>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</si>
  <si>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</si>
  <si>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</si>
  <si>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</si>
  <si>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</si>
  <si>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</si>
  <si>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</si>
  <si>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</si>
  <si>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</si>
  <si>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</si>
  <si>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</si>
  <si>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</si>
  <si>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</si>
  <si>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</si>
  <si>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</si>
  <si>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</si>
  <si>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</si>
  <si>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</si>
  <si>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</si>
  <si>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</si>
  <si>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</si>
  <si>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</si>
  <si>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</si>
  <si>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</si>
  <si>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</si>
  <si>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</si>
  <si>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</si>
  <si>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</si>
  <si>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</si>
  <si>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</si>
  <si>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</si>
  <si>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</si>
  <si>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</si>
  <si>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</si>
  <si>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</si>
  <si>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</si>
  <si>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</si>
  <si>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</si>
  <si>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</si>
  <si>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</si>
  <si>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</si>
  <si>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</si>
  <si>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</si>
  <si>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</si>
  <si>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</si>
  <si>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</si>
  <si>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</si>
  <si>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</si>
  <si>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</si>
  <si>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</si>
  <si>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</si>
  <si>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</si>
  <si>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</si>
  <si>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</si>
  <si>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</si>
  <si>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</si>
  <si>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</si>
  <si>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</si>
  <si>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</si>
  <si>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</si>
  <si>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</si>
  <si>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</si>
  <si>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</si>
  <si>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</si>
  <si>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</si>
  <si>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</si>
  <si>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</si>
  <si>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</si>
  <si>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</si>
  <si>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</si>
  <si>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</si>
  <si>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</si>
  <si>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</si>
  <si>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</si>
  <si>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</si>
  <si>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</si>
  <si>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</si>
  <si>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</si>
  <si>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</si>
  <si>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</si>
  <si>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</si>
  <si>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</si>
  <si>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</si>
  <si>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</si>
  <si>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</si>
  <si>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</si>
  <si>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</si>
  <si>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</si>
  <si>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</si>
  <si>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</si>
  <si>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</si>
  <si>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</si>
  <si>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</si>
  <si>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</si>
  <si>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</si>
  <si>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</si>
  <si>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</si>
  <si>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</si>
  <si>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</si>
  <si>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</si>
  <si>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</si>
  <si>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</si>
  <si>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</si>
  <si>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</si>
  <si>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</si>
  <si>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</si>
  <si>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</si>
  <si>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</si>
  <si>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</si>
  <si>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</si>
  <si>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</si>
  <si>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</si>
  <si>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</si>
  <si>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</si>
  <si>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</si>
  <si>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</si>
  <si>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</si>
  <si>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</si>
  <si>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</si>
  <si>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</si>
  <si>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</si>
  <si>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</si>
  <si>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</si>
  <si>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</si>
  <si>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</si>
  <si>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</si>
  <si>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</si>
  <si>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</si>
  <si>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</si>
  <si>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</si>
  <si>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</si>
  <si>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</si>
  <si>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</si>
  <si>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</si>
  <si>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</si>
  <si>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</si>
  <si>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</si>
  <si>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</si>
  <si>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</si>
  <si>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</si>
  <si>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</si>
  <si>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</si>
  <si>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</si>
  <si>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</si>
  <si>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</si>
  <si>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</si>
  <si>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</si>
  <si>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</si>
  <si>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</si>
  <si>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</si>
  <si>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</si>
  <si>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</si>
  <si>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</si>
  <si>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</si>
  <si>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</si>
  <si>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</si>
  <si>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</si>
  <si>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</si>
  <si>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</si>
  <si>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</si>
  <si>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</si>
  <si>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</si>
  <si>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</si>
  <si>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</si>
  <si>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</si>
  <si>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</si>
  <si>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</si>
  <si>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</si>
  <si>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</si>
  <si>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</si>
  <si>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</si>
  <si>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</si>
  <si>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</si>
  <si>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</si>
  <si>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</si>
  <si>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</si>
  <si>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</si>
  <si>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</si>
  <si>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</si>
  <si>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</si>
  <si>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</si>
  <si>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</si>
  <si>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</si>
  <si>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</si>
  <si>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</si>
  <si>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</si>
  <si>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</si>
  <si>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</si>
  <si>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</si>
  <si>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</si>
  <si>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</si>
  <si>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</si>
  <si>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</si>
  <si>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</si>
  <si>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</si>
  <si>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</si>
  <si>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</si>
  <si>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</si>
  <si>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</si>
  <si>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</si>
  <si>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</si>
  <si>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</si>
  <si>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</si>
  <si>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</si>
  <si>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</si>
  <si>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</si>
  <si>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</si>
  <si>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</si>
  <si>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</si>
  <si>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</si>
  <si>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</si>
  <si>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</si>
  <si>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</si>
  <si>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</si>
  <si>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</si>
  <si>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</si>
  <si>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</si>
  <si>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</si>
  <si>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</si>
  <si>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</si>
  <si>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</si>
  <si>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</si>
  <si>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</si>
  <si>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</si>
  <si>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</si>
  <si>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</si>
  <si>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</si>
  <si>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</si>
  <si>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</si>
  <si>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</si>
  <si>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</si>
  <si>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</si>
  <si>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</si>
  <si>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</si>
  <si>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</si>
  <si>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</si>
  <si>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</si>
  <si>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</si>
  <si>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</si>
  <si>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</si>
  <si>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</si>
  <si>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</si>
  <si>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</si>
  <si>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</si>
  <si>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</si>
  <si>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</si>
  <si>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</si>
  <si>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</si>
  <si>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</si>
  <si>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</si>
  <si>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</si>
  <si>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</si>
  <si>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</si>
  <si>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</si>
  <si>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</si>
  <si>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</si>
  <si>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</si>
  <si>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</si>
  <si>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</si>
  <si>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</si>
  <si>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</si>
  <si>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</si>
  <si>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</si>
  <si>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</si>
  <si>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</si>
  <si>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</si>
  <si>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</si>
  <si>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</si>
  <si>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</si>
  <si>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</si>
  <si>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</si>
  <si>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</si>
  <si>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</si>
  <si>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</si>
  <si>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</si>
  <si>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</si>
  <si>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</si>
  <si>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</si>
  <si>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</si>
  <si>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</si>
  <si>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</si>
  <si>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</si>
  <si>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</si>
  <si>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</si>
  <si>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</si>
  <si>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</si>
  <si>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</si>
  <si>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</si>
  <si>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</si>
  <si>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</si>
  <si>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</si>
  <si>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</si>
  <si>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</si>
  <si>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</si>
  <si>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</si>
  <si>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</si>
  <si>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</si>
  <si>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</si>
  <si>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</si>
  <si>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</si>
  <si>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</si>
  <si>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</si>
  <si>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</si>
  <si>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</si>
  <si>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</si>
  <si>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</si>
  <si>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</si>
  <si>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</si>
  <si>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</si>
  <si>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</si>
  <si>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</si>
  <si>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</si>
  <si>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</si>
  <si>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</si>
  <si>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</si>
  <si>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</si>
  <si>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</si>
  <si>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</si>
  <si>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</si>
  <si>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</si>
  <si>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</si>
  <si>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</si>
  <si>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</si>
  <si>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</si>
  <si>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</si>
  <si>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</si>
  <si>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</si>
  <si>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</si>
  <si>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</si>
  <si>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</si>
  <si>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</si>
  <si>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</si>
  <si>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</si>
  <si>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</si>
  <si>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</si>
  <si>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</si>
  <si>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</si>
  <si>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</si>
  <si>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</si>
  <si>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</si>
  <si>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</si>
  <si>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</si>
  <si>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</si>
  <si>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</si>
  <si>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</si>
  <si>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</si>
  <si>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</si>
  <si>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</si>
  <si>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</si>
  <si>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</si>
  <si>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</si>
  <si>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</si>
  <si>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</si>
  <si>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</si>
  <si>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</si>
  <si>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</si>
  <si>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</si>
  <si>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</si>
  <si>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</si>
  <si>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</si>
  <si>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</si>
  <si>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</si>
  <si>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</si>
  <si>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</si>
  <si>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</si>
  <si>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</si>
  <si>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</si>
  <si>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</si>
  <si>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</si>
  <si>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</si>
  <si>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</si>
  <si>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</si>
  <si>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</si>
  <si>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</si>
  <si>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</si>
  <si>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</si>
  <si>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</si>
  <si>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</si>
  <si>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</si>
  <si>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</si>
  <si>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</si>
  <si>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</si>
  <si>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</si>
  <si>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</si>
  <si>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</si>
  <si>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</si>
  <si>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</si>
  <si>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</si>
  <si>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</si>
  <si>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</si>
  <si>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</si>
  <si>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</si>
  <si>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</si>
  <si>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</si>
  <si>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</si>
  <si>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</si>
  <si>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</si>
  <si>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</si>
  <si>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</si>
  <si>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</si>
  <si>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</si>
  <si>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</si>
  <si>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</si>
  <si>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</si>
  <si>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</si>
  <si>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</si>
  <si>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</si>
  <si>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</si>
  <si>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</si>
  <si>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</si>
  <si>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</si>
  <si>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</si>
  <si>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</si>
  <si>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</si>
  <si>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</si>
  <si>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</si>
  <si>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</si>
  <si>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</si>
  <si>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</si>
  <si>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</si>
  <si>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</si>
  <si>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</si>
  <si>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</si>
  <si>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</si>
  <si>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</si>
  <si>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</si>
  <si>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</si>
  <si>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</si>
  <si>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</si>
  <si>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</si>
  <si>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</si>
  <si>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</si>
  <si>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</si>
  <si>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</si>
  <si>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</si>
  <si>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</si>
  <si>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</si>
  <si>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</si>
  <si>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</si>
  <si>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</si>
  <si>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</si>
  <si>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</si>
  <si>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</si>
  <si>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</si>
  <si>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</si>
  <si>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</si>
  <si>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</si>
  <si>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</si>
  <si>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</si>
  <si>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</si>
  <si>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</si>
  <si>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</si>
  <si>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</si>
  <si>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</si>
  <si>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</si>
  <si>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</si>
  <si>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</si>
  <si>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</si>
  <si>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</si>
  <si>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</si>
  <si>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</si>
  <si>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</si>
  <si>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</si>
  <si>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</si>
  <si>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</si>
  <si>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</si>
  <si>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</si>
  <si>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</si>
  <si>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</si>
  <si>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</si>
  <si>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</si>
  <si>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</si>
  <si>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</si>
  <si>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</si>
  <si>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</si>
  <si>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</si>
  <si>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</si>
  <si>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</si>
  <si>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</si>
  <si>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</si>
  <si>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</si>
  <si>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</si>
  <si>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</si>
  <si>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</si>
  <si>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</si>
  <si>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</si>
  <si>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</si>
  <si>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</si>
  <si>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</si>
  <si>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</si>
  <si>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</si>
  <si>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</si>
  <si>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</si>
  <si>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</si>
  <si>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</si>
  <si>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</si>
  <si>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</si>
  <si>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</si>
  <si>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</si>
  <si>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</si>
  <si>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</si>
  <si>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</si>
  <si>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</si>
  <si>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</si>
  <si>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</si>
  <si>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</si>
  <si>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</si>
  <si>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</si>
  <si>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</si>
  <si>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</si>
  <si>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</si>
  <si>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</si>
  <si>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</si>
  <si>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</si>
  <si>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</si>
  <si>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</si>
  <si>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</si>
  <si>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</si>
  <si>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</si>
  <si>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</si>
  <si>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</si>
  <si>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</si>
  <si>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</si>
  <si>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</si>
  <si>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</si>
  <si>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</si>
  <si>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</si>
  <si>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</si>
  <si>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</si>
  <si>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</si>
  <si>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</si>
  <si>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</si>
  <si>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</si>
  <si>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</si>
  <si>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</si>
  <si>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</si>
  <si>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</si>
  <si>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</si>
  <si>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</si>
  <si>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</si>
  <si>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</si>
  <si>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</si>
  <si>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</si>
  <si>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</si>
  <si>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</si>
  <si>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</si>
  <si>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</si>
  <si>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</si>
  <si>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</si>
  <si>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</si>
  <si>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</si>
  <si>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</si>
  <si>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</si>
  <si>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</si>
  <si>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</si>
  <si>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</si>
  <si>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</si>
  <si>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</si>
  <si>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</si>
  <si>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</si>
  <si>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</si>
  <si>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</si>
  <si>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</si>
  <si>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</si>
  <si>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</si>
  <si>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</si>
  <si>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</si>
  <si>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</si>
  <si>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</si>
  <si>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</si>
  <si>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</si>
  <si>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</si>
  <si>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</si>
  <si>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</si>
  <si>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</si>
  <si>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</si>
  <si>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</si>
  <si>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</si>
  <si>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</si>
  <si>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</si>
  <si>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</si>
  <si>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</si>
  <si>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</si>
  <si>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</si>
  <si>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</si>
  <si>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</si>
  <si>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</si>
  <si>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</si>
  <si>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</si>
  <si>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</si>
  <si>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</si>
  <si>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</si>
  <si>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</si>
  <si>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</si>
  <si>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</si>
  <si>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</si>
  <si>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</si>
  <si>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</si>
  <si>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</si>
  <si>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</si>
  <si>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</si>
  <si>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</si>
  <si>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</si>
  <si>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</si>
  <si>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</si>
  <si>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</si>
  <si>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</si>
  <si>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</si>
  <si>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</si>
  <si>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</si>
  <si>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</si>
  <si>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</si>
  <si>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</si>
  <si>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</si>
  <si>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</si>
  <si>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</si>
  <si>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</si>
  <si>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</si>
  <si>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</si>
  <si>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</si>
  <si>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</si>
  <si>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</si>
  <si>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</si>
  <si>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</si>
  <si>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</si>
  <si>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</si>
  <si>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</si>
  <si>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</si>
  <si>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</si>
  <si>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</si>
  <si>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</si>
  <si>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</si>
  <si>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</si>
  <si>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</si>
  <si>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</si>
  <si>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</si>
  <si>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</si>
  <si>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</si>
  <si>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</si>
  <si>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</si>
  <si>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</si>
  <si>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</si>
  <si>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</si>
  <si>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</si>
  <si>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</si>
  <si>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</si>
  <si>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</si>
  <si>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</si>
  <si>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</si>
  <si>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</si>
  <si>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</si>
  <si>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</si>
  <si>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</si>
  <si>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</si>
  <si>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</si>
  <si>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</si>
  <si>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</si>
  <si>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</si>
  <si>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</si>
  <si>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</si>
  <si>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</si>
  <si>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</si>
  <si>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</si>
  <si>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</si>
  <si>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</si>
  <si>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</si>
  <si>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</si>
  <si>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</si>
  <si>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</si>
  <si>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</si>
  <si>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</si>
  <si>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</si>
  <si>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</si>
  <si>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</si>
  <si>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</si>
  <si>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</si>
  <si>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</si>
  <si>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</si>
  <si>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</si>
  <si>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</si>
  <si>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</si>
  <si>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</si>
  <si>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</si>
  <si>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</si>
  <si>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</si>
  <si>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</si>
  <si>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</si>
  <si>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</si>
  <si>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</si>
  <si>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</si>
  <si>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</si>
  <si>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</si>
  <si>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</si>
  <si>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</si>
  <si>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</si>
  <si>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</si>
  <si>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</si>
  <si>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</si>
  <si>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</si>
  <si>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</si>
  <si>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</si>
  <si>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</si>
  <si>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</si>
  <si>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</si>
  <si>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</si>
  <si>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</si>
  <si>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</si>
  <si>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</si>
  <si>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</si>
  <si>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</si>
  <si>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</si>
  <si>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</si>
  <si>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</si>
  <si>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</si>
  <si>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</si>
  <si>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</si>
  <si>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</si>
  <si>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</si>
  <si>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</si>
  <si>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</si>
  <si>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</si>
  <si>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</si>
  <si>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</si>
  <si>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</si>
  <si>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</si>
  <si>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</si>
  <si>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</si>
  <si>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</si>
  <si>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</si>
  <si>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</si>
  <si>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</si>
  <si>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</si>
  <si>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</si>
  <si>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</si>
  <si>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</si>
  <si>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</si>
  <si>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</si>
  <si>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</si>
  <si>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</si>
  <si>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</si>
  <si>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</si>
  <si>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</si>
  <si>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</si>
  <si>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</si>
  <si>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</si>
  <si>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</si>
  <si>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</si>
  <si>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</si>
  <si>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</si>
  <si>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</si>
  <si>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</si>
  <si>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</si>
  <si>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</si>
  <si>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</si>
  <si>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</si>
  <si>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</si>
  <si>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</si>
  <si>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</si>
  <si>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</si>
  <si>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</si>
  <si>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</si>
  <si>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</si>
  <si>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</si>
  <si>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</si>
  <si>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</si>
  <si>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</si>
  <si>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</si>
  <si>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</si>
  <si>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</si>
  <si>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</si>
  <si>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</si>
  <si>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</si>
  <si>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</si>
  <si>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</si>
  <si>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</si>
  <si>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</si>
  <si>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</si>
  <si>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</si>
  <si>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</si>
  <si>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</si>
  <si>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</si>
  <si>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</si>
  <si>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</si>
  <si>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</si>
  <si>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</si>
  <si>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</si>
  <si>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</si>
  <si>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</si>
  <si>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</si>
  <si>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</si>
  <si>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</si>
  <si>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</si>
  <si>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</si>
  <si>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</si>
  <si>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</si>
  <si>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</si>
  <si>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</si>
  <si>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</si>
  <si>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</si>
  <si>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</si>
  <si>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</si>
  <si>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</si>
  <si>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</si>
  <si>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</si>
  <si>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</si>
  <si>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</si>
  <si>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</si>
  <si>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</si>
  <si>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</si>
  <si>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</si>
  <si>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</si>
  <si>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</si>
  <si>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</si>
  <si>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</si>
  <si>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</si>
  <si>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</si>
  <si>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</si>
  <si>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</si>
  <si>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</si>
  <si>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</si>
  <si>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</si>
  <si>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</si>
  <si>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</si>
  <si>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</si>
  <si>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</si>
  <si>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</si>
  <si>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</si>
  <si>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</si>
  <si>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</si>
  <si>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</si>
  <si>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</si>
  <si>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</si>
  <si>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</si>
  <si>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</si>
  <si>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</si>
  <si>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</si>
  <si>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</si>
  <si>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</si>
  <si>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</si>
  <si>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</si>
  <si>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</si>
  <si>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</si>
  <si>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</si>
  <si>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</si>
  <si>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</si>
  <si>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</si>
  <si>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</si>
  <si>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</si>
  <si>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</si>
  <si>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</si>
  <si>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</si>
  <si>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</si>
  <si>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</si>
  <si>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</si>
  <si>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</si>
  <si>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</si>
  <si>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</si>
  <si>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</si>
  <si>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</si>
  <si>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</si>
  <si>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</si>
  <si>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</si>
  <si>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</si>
  <si>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</si>
  <si>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</si>
  <si>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</si>
  <si>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</si>
  <si>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</si>
  <si>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</si>
  <si>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</si>
  <si>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</si>
  <si>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</si>
  <si>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</si>
  <si>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</si>
  <si>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</si>
  <si>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</si>
  <si>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</si>
  <si>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</si>
  <si>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</si>
  <si>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</si>
  <si>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</si>
  <si>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</si>
  <si>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</si>
  <si>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</si>
  <si>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</si>
  <si>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</si>
  <si>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</si>
  <si>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</si>
  <si>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</si>
  <si>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</si>
  <si>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</si>
  <si>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</si>
  <si>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</si>
  <si>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</si>
  <si>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</si>
  <si>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</si>
  <si>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</si>
  <si>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</si>
  <si>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</si>
  <si>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</si>
  <si>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</si>
  <si>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</si>
  <si>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</si>
  <si>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</si>
  <si>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</si>
  <si>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</si>
  <si>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</si>
  <si>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</si>
  <si>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</si>
  <si>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</si>
  <si>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</si>
  <si>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</si>
  <si>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</si>
  <si>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</si>
  <si>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</si>
  <si>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</si>
  <si>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</si>
  <si>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</si>
  <si>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</si>
  <si>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</si>
  <si>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</si>
  <si>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</si>
  <si>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</si>
  <si>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</si>
  <si>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</si>
  <si>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</si>
  <si>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</si>
  <si>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</si>
  <si>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</si>
  <si>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</si>
  <si>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</si>
  <si>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</si>
  <si>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</si>
  <si>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</si>
  <si>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</si>
  <si>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</si>
  <si>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</si>
  <si>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</si>
  <si>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</si>
  <si>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</si>
  <si>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</si>
  <si>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</si>
  <si>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</si>
  <si>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</si>
  <si>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</si>
  <si>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</si>
  <si>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</si>
  <si>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</si>
  <si>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</si>
  <si>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</si>
  <si>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</si>
  <si>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</si>
  <si>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</si>
  <si>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</si>
  <si>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</si>
  <si>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</si>
  <si>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</si>
  <si>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</si>
  <si>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</si>
  <si>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</si>
  <si>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</si>
  <si>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</si>
  <si>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</si>
  <si>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</si>
  <si>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</si>
  <si>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</si>
  <si>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</si>
  <si>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</si>
  <si>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</si>
  <si>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</si>
  <si>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</si>
  <si>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</si>
  <si>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</si>
  <si>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</si>
  <si>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</si>
  <si>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</si>
  <si>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</si>
  <si>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</si>
  <si>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</si>
  <si>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</si>
  <si>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</si>
  <si>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</si>
  <si>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</si>
  <si>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</si>
  <si>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</si>
  <si>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</si>
  <si>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</si>
  <si>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</si>
  <si>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</si>
  <si>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</si>
  <si>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</si>
  <si>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</si>
  <si>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</si>
  <si>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</si>
  <si>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</si>
  <si>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</si>
  <si>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</si>
  <si>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</si>
  <si>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</si>
  <si>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</si>
  <si>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</si>
  <si>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</si>
  <si>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</si>
  <si>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</si>
  <si>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</si>
  <si>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</si>
  <si>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</si>
  <si>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</si>
  <si>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</si>
  <si>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</si>
  <si>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</si>
  <si>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</si>
  <si>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</si>
  <si>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</si>
  <si>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</si>
  <si>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</si>
  <si>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</si>
  <si>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</si>
  <si>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</si>
  <si>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</si>
  <si>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</si>
  <si>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</si>
  <si>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</si>
  <si>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</si>
  <si>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</si>
  <si>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</si>
  <si>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</si>
  <si>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</si>
  <si>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</si>
  <si>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</si>
  <si>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</si>
  <si>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</si>
  <si>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</si>
  <si>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</si>
  <si>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</si>
  <si>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</si>
  <si>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</si>
  <si>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</si>
  <si>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</si>
  <si>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</si>
  <si>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</si>
  <si>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</si>
  <si>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</si>
  <si>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</si>
  <si>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</si>
  <si>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</si>
  <si>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</si>
  <si>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</si>
  <si>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</si>
  <si>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</si>
  <si>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</si>
  <si>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</si>
  <si>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</si>
  <si>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</si>
  <si>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</si>
  <si>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</si>
  <si>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</si>
  <si>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</si>
  <si>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</si>
  <si>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</si>
  <si>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</si>
  <si>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</si>
  <si>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</si>
  <si>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</si>
  <si>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</si>
  <si>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</si>
  <si>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</si>
  <si>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</si>
  <si>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</si>
  <si>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</si>
  <si>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</si>
  <si>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</si>
  <si>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</si>
  <si>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</si>
  <si>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</si>
  <si>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</si>
  <si>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</si>
  <si>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</si>
  <si>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</si>
  <si>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</si>
  <si>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</si>
  <si>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</si>
  <si>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</si>
  <si>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</si>
  <si>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</si>
  <si>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</si>
  <si>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</si>
  <si>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</si>
  <si>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</si>
  <si>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</si>
  <si>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</si>
  <si>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</si>
  <si>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</si>
  <si>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</si>
  <si>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</si>
  <si>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</si>
  <si>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</si>
  <si>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</si>
  <si>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</si>
  <si>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</si>
  <si>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</si>
  <si>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</si>
  <si>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</si>
  <si>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</si>
  <si>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</si>
  <si>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</si>
  <si>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</si>
  <si>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</si>
  <si>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</si>
  <si>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</si>
  <si>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</si>
  <si>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</si>
  <si>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</si>
  <si>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</si>
  <si>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</si>
  <si>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</si>
  <si>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</si>
  <si>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</si>
  <si>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</si>
  <si>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</si>
  <si>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</si>
  <si>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</si>
  <si>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</si>
  <si>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</si>
  <si>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</si>
  <si>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</si>
  <si>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</si>
  <si>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</si>
  <si>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</si>
  <si>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</si>
  <si>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</si>
  <si>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</si>
  <si>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</si>
  <si>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</si>
  <si>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</si>
  <si>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</si>
  <si>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</si>
  <si>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</si>
  <si>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</si>
  <si>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</si>
  <si>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</si>
  <si>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</si>
  <si>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</si>
  <si>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</si>
  <si>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</si>
  <si>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</si>
  <si>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</si>
  <si>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</si>
  <si>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</si>
  <si>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</si>
  <si>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</si>
  <si>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</si>
  <si>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</si>
  <si>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</si>
  <si>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</si>
  <si>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</si>
  <si>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</si>
  <si>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</si>
  <si>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</si>
  <si>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</si>
  <si>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</si>
  <si>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</si>
  <si>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</si>
  <si>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</si>
  <si>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</si>
  <si>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</si>
  <si>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</si>
  <si>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</si>
  <si>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</si>
  <si>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</si>
  <si>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</si>
  <si>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</si>
  <si>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</si>
  <si>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</si>
  <si>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</si>
  <si>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</si>
  <si>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</si>
  <si>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</si>
  <si>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</si>
  <si>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</si>
  <si>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</si>
  <si>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</si>
  <si>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</si>
  <si>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</si>
  <si>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</si>
  <si>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</si>
  <si>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</si>
  <si>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</si>
  <si>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</si>
  <si>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</si>
  <si>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</si>
  <si>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</si>
  <si>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</si>
  <si>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</si>
  <si>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</si>
  <si>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</si>
  <si>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</si>
  <si>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</si>
  <si>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</si>
  <si>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</si>
  <si>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</si>
  <si>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</si>
  <si>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</si>
  <si>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</si>
  <si>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</si>
  <si>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</si>
  <si>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</si>
  <si>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</si>
  <si>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</si>
  <si>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</si>
  <si>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</si>
  <si>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</si>
  <si>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</si>
  <si>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</si>
  <si>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</si>
  <si>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</si>
  <si>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</si>
  <si>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</si>
  <si>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</si>
  <si>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</si>
  <si>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</si>
  <si>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</si>
  <si>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</si>
  <si>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</si>
  <si>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</si>
  <si>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</si>
  <si>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</si>
  <si>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</si>
  <si>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</si>
  <si>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</si>
  <si>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</si>
  <si>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</si>
  <si>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</si>
  <si>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</si>
  <si>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</si>
  <si>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</si>
  <si>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</si>
  <si>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</si>
  <si>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</si>
  <si>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</si>
  <si>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</si>
  <si>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</si>
  <si>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</si>
  <si>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</si>
  <si>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</si>
  <si>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</si>
  <si>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</si>
  <si>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</si>
  <si>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</si>
  <si>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</si>
  <si>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</si>
  <si>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</si>
  <si>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</si>
  <si>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</si>
  <si>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</si>
  <si>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</si>
  <si>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</si>
  <si>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</si>
  <si>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</si>
  <si>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</si>
  <si>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</si>
  <si>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</si>
  <si>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</si>
  <si>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</si>
  <si>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</si>
  <si>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</si>
  <si>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</si>
  <si>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</si>
  <si>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</si>
  <si>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</si>
  <si>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</si>
  <si>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</si>
  <si>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</si>
  <si>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</si>
  <si>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</si>
  <si>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</si>
  <si>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</si>
  <si>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</si>
  <si>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</si>
  <si>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</si>
  <si>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</si>
  <si>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</si>
  <si>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</si>
  <si>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</si>
  <si>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</si>
  <si>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</si>
  <si>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</si>
  <si>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</si>
  <si>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</si>
  <si>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</si>
  <si>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</si>
  <si>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</si>
  <si>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</si>
  <si>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</si>
  <si>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</si>
  <si>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</si>
  <si>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</si>
  <si>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</si>
  <si>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</si>
  <si>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</si>
  <si>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</si>
  <si>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</si>
  <si>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</si>
  <si>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</si>
  <si>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</si>
  <si>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</si>
  <si>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</si>
  <si>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</si>
  <si>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</si>
  <si>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</si>
  <si>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</si>
  <si>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</si>
  <si>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</si>
  <si>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</si>
  <si>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</si>
  <si>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</si>
  <si>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</si>
  <si>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</si>
  <si>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</si>
  <si>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</si>
  <si>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</si>
  <si>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</si>
  <si>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</si>
  <si>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</si>
  <si>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</si>
  <si>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</si>
  <si>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</si>
  <si>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</si>
  <si>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</si>
  <si>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</si>
  <si>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</si>
  <si>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</si>
  <si>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</si>
  <si>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</si>
  <si>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</si>
  <si>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</si>
  <si>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</si>
  <si>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</si>
  <si>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</si>
  <si>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</si>
  <si>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</si>
  <si>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</si>
  <si>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</si>
  <si>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</si>
  <si>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</si>
  <si>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</si>
  <si>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</si>
  <si>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</si>
  <si>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</si>
  <si>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</si>
  <si>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</si>
  <si>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</si>
  <si>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</si>
  <si>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</si>
  <si>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</si>
  <si>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</si>
  <si>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</si>
  <si>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</si>
  <si>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</si>
  <si>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</si>
  <si>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</si>
  <si>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</si>
  <si>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</si>
  <si>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</si>
  <si>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</si>
  <si>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</si>
  <si>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</si>
  <si>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</si>
  <si>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</si>
  <si>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</si>
  <si>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</si>
  <si>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</si>
  <si>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</si>
  <si>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</si>
  <si>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</si>
  <si>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</si>
  <si>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</si>
  <si>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</si>
  <si>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</si>
  <si>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</si>
  <si>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</si>
  <si>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</si>
  <si>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</si>
  <si>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</si>
  <si>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</si>
  <si>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</si>
  <si>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</si>
  <si>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</si>
  <si>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</si>
  <si>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</si>
  <si>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</si>
  <si>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</si>
  <si>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</si>
  <si>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</si>
  <si>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</si>
  <si>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</si>
  <si>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</si>
  <si>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</si>
  <si>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</si>
  <si>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</si>
  <si>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</si>
  <si>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</si>
  <si>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</si>
  <si>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</si>
  <si>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</si>
  <si>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</si>
  <si>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</si>
  <si>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</si>
  <si>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</si>
  <si>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</si>
  <si>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</si>
  <si>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</si>
  <si>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</si>
  <si>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</si>
  <si>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</si>
  <si>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</si>
  <si>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</si>
  <si>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</si>
  <si>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</si>
  <si>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</si>
  <si>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</si>
  <si>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</si>
  <si>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</si>
  <si>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</si>
  <si>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</si>
  <si>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</si>
  <si>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</si>
  <si>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</si>
  <si>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</si>
  <si>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</si>
  <si>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</si>
  <si>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</si>
  <si>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</si>
  <si>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</si>
  <si>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</si>
  <si>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</si>
  <si>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</si>
  <si>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</si>
  <si>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</si>
  <si>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</si>
  <si>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</si>
  <si>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</si>
  <si>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</si>
  <si>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</si>
  <si>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</si>
  <si>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</si>
  <si>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</si>
  <si>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</si>
  <si>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</si>
  <si>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</si>
  <si>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</si>
  <si>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</si>
  <si>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</si>
  <si>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</si>
  <si>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</si>
  <si>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</si>
  <si>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</si>
  <si>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</si>
  <si>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</si>
  <si>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</si>
  <si>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</si>
  <si>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</si>
  <si>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</si>
  <si>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</si>
  <si>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</si>
  <si>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</si>
  <si>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</si>
  <si>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</si>
  <si>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</si>
  <si>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</si>
  <si>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</si>
  <si>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</si>
  <si>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</si>
  <si>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</si>
  <si>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</si>
  <si>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</si>
  <si>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</si>
  <si>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</si>
  <si>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</si>
  <si>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</si>
  <si>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</si>
  <si>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</si>
  <si>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</si>
  <si>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</si>
  <si>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</si>
  <si>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</si>
  <si>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</si>
  <si>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</si>
  <si>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</si>
  <si>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</si>
  <si>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</si>
  <si>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</si>
  <si>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</si>
  <si>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</si>
  <si>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</si>
  <si>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</si>
  <si>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</si>
  <si>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</si>
  <si>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</si>
  <si>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</si>
  <si>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</si>
  <si>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</si>
  <si>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</si>
  <si>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</si>
  <si>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</si>
  <si>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</si>
  <si>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</si>
  <si>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</si>
  <si>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</si>
  <si>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</si>
  <si>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</si>
  <si>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</si>
  <si>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</si>
  <si>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</si>
  <si>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</si>
  <si>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</si>
  <si>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</si>
  <si>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</si>
  <si>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</si>
  <si>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</si>
  <si>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</si>
  <si>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</si>
  <si>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</si>
  <si>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</si>
  <si>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</si>
  <si>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</si>
  <si>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</si>
  <si>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</si>
  <si>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</si>
  <si>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</si>
  <si>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</si>
  <si>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</si>
  <si>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</si>
  <si>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</si>
  <si>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</si>
  <si>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</si>
  <si>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</si>
  <si>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</si>
  <si>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</si>
  <si>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</si>
  <si>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</si>
  <si>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</si>
  <si>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</si>
  <si>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</si>
  <si>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</si>
  <si>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</si>
  <si>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</si>
  <si>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</si>
  <si>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</si>
  <si>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</si>
  <si>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</si>
  <si>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</si>
  <si>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</si>
  <si>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</si>
  <si>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</si>
  <si>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</si>
  <si>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</si>
  <si>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</si>
  <si>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</si>
  <si>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</si>
  <si>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</si>
  <si>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</si>
  <si>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</si>
  <si>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</si>
  <si>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</si>
  <si>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</si>
  <si>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</si>
  <si>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</si>
  <si>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</si>
  <si>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</si>
  <si>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</si>
  <si>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</si>
  <si>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</si>
  <si>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</si>
  <si>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</si>
  <si>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</si>
  <si>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</si>
  <si>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</si>
  <si>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</si>
  <si>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</si>
  <si>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</si>
  <si>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</si>
  <si>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</si>
  <si>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</si>
  <si>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</si>
  <si>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</si>
  <si>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</si>
  <si>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</si>
  <si>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</si>
  <si>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</si>
  <si>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</si>
  <si>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</si>
  <si>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</si>
  <si>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</si>
  <si>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</si>
  <si>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</si>
  <si>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</si>
  <si>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</si>
  <si>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</si>
  <si>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</si>
  <si>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</si>
  <si>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</si>
  <si>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</si>
  <si>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</si>
  <si>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</si>
  <si>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</si>
  <si>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</si>
  <si>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</si>
  <si>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</si>
  <si>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</si>
  <si>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</si>
  <si>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</si>
  <si>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</si>
  <si>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</si>
  <si>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</si>
  <si>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</si>
  <si>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</si>
  <si>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</si>
  <si>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</si>
  <si>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</si>
  <si>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</si>
  <si>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</si>
  <si>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</si>
  <si>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</si>
  <si>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</si>
  <si>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</si>
  <si>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</si>
  <si>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</si>
  <si>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</si>
  <si>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</si>
  <si>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</si>
  <si>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</si>
  <si>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</si>
  <si>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</si>
  <si>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</si>
  <si>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</si>
  <si>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</si>
  <si>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</si>
  <si>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</si>
  <si>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</si>
  <si>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</si>
  <si>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</si>
  <si>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</si>
  <si>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</si>
  <si>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</si>
  <si>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</si>
  <si>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</si>
  <si>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</si>
  <si>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</si>
  <si>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</si>
  <si>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</si>
  <si>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</si>
  <si>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</si>
  <si>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</si>
  <si>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</si>
  <si>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</si>
  <si>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</si>
  <si>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</si>
  <si>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</si>
  <si>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</si>
  <si>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</si>
  <si>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</si>
  <si>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</si>
  <si>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</si>
  <si>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</si>
  <si>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</si>
  <si>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</si>
  <si>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</si>
  <si>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</si>
  <si>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</si>
  <si>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</si>
  <si>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</si>
  <si>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</si>
  <si>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</si>
  <si>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</si>
  <si>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</si>
  <si>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</si>
  <si>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</si>
  <si>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</si>
  <si>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</si>
  <si>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</si>
  <si>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</si>
  <si>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</si>
  <si>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</si>
  <si>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</si>
  <si>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</si>
  <si>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</si>
  <si>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</si>
  <si>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</si>
  <si>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</si>
  <si>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</si>
  <si>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</si>
  <si>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</si>
  <si>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</si>
  <si>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</si>
  <si>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</si>
  <si>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</si>
  <si>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</si>
  <si>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</si>
  <si>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</si>
  <si>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</si>
  <si>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</si>
  <si>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</si>
  <si>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</si>
  <si>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</si>
  <si>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</si>
  <si>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</si>
  <si>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</si>
  <si>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</si>
  <si>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</si>
  <si>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</si>
  <si>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</si>
  <si>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</si>
  <si>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</si>
  <si>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</si>
  <si>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</si>
  <si>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</si>
  <si>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</si>
  <si>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</si>
  <si>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</si>
  <si>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</si>
  <si>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</si>
  <si>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</si>
  <si>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</si>
  <si>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</si>
  <si>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</si>
  <si>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</si>
  <si>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</si>
  <si>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</si>
  <si>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</si>
  <si>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</si>
  <si>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</si>
  <si>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</si>
  <si>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</si>
  <si>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</si>
  <si>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</si>
  <si>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</si>
  <si>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</si>
  <si>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</si>
  <si>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</si>
  <si>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</si>
  <si>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</si>
  <si>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</si>
  <si>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</si>
  <si>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</si>
  <si>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</si>
  <si>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</si>
  <si>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</si>
  <si>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</si>
  <si>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</si>
  <si>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</si>
  <si>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</si>
  <si>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</si>
  <si>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</si>
  <si>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</si>
  <si>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</si>
  <si>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</si>
  <si>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</si>
  <si>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</si>
  <si>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</si>
  <si>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</si>
  <si>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</si>
  <si>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</si>
  <si>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</si>
  <si>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</si>
  <si>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</si>
  <si>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</si>
  <si>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</si>
  <si>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</si>
  <si>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</si>
  <si>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</si>
  <si>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</si>
  <si>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</si>
  <si>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</si>
  <si>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</si>
  <si>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</si>
  <si>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</si>
  <si>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</si>
  <si>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</si>
  <si>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</si>
  <si>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</si>
  <si>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</si>
  <si>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</si>
  <si>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</si>
  <si>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</si>
  <si>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</si>
  <si>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</si>
  <si>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</si>
  <si>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</si>
  <si>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</si>
  <si>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</si>
  <si>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</si>
  <si>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</si>
  <si>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</si>
  <si>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</si>
  <si>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</si>
  <si>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</si>
  <si>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</si>
  <si>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</si>
  <si>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</si>
  <si>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</si>
  <si>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</si>
  <si>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</si>
  <si>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</si>
  <si>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</si>
  <si>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</si>
  <si>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</si>
  <si>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</si>
  <si>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</si>
  <si>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</si>
  <si>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</si>
  <si>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</si>
  <si>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</si>
  <si>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</si>
  <si>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</si>
  <si>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</si>
  <si>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</si>
  <si>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</si>
  <si>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</si>
  <si>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</si>
  <si>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</si>
  <si>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</si>
  <si>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</si>
  <si>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</si>
  <si>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</si>
  <si>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</si>
  <si>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</si>
  <si>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</si>
  <si>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</si>
  <si>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</si>
  <si>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</si>
  <si>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</si>
  <si>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</si>
  <si>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</si>
  <si>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</si>
  <si>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</si>
  <si>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</si>
  <si>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</si>
  <si>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</si>
  <si>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</si>
  <si>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</si>
  <si>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</si>
  <si>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</si>
  <si>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</si>
  <si>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</si>
  <si>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</si>
  <si>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</si>
  <si>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</si>
  <si>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</si>
  <si>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</si>
  <si>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</si>
  <si>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</si>
  <si>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</si>
  <si>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</si>
  <si>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</si>
  <si>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</si>
  <si>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</si>
  <si>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</si>
  <si>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</si>
  <si>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</si>
  <si>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</si>
  <si>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</si>
  <si>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</si>
  <si>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</si>
  <si>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</si>
  <si>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</si>
  <si>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</si>
  <si>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</si>
  <si>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</si>
  <si>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</si>
  <si>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</si>
  <si>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</si>
  <si>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</si>
  <si>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</si>
  <si>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</si>
  <si>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</si>
  <si>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</si>
  <si>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</si>
  <si>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</si>
  <si>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</si>
  <si>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</si>
  <si>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</si>
  <si>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</si>
  <si>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</si>
  <si>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</si>
  <si>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</si>
  <si>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</si>
  <si>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</si>
  <si>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</si>
  <si>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</si>
  <si>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</si>
  <si>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</si>
  <si>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</si>
  <si>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</si>
  <si>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</si>
  <si>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</si>
  <si>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</si>
  <si>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</si>
  <si>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</si>
  <si>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</si>
  <si>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</si>
  <si>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</si>
  <si>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</si>
  <si>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</si>
  <si>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</si>
  <si>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</si>
  <si>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</si>
  <si>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</si>
  <si>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</si>
  <si>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</si>
  <si>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</si>
  <si>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</si>
  <si>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</si>
  <si>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</si>
  <si>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</si>
  <si>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</si>
  <si>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</si>
  <si>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</si>
  <si>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</si>
  <si>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</si>
  <si>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</si>
  <si>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</si>
  <si>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</si>
  <si>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</si>
  <si>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</si>
  <si>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</si>
  <si>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</si>
  <si>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</si>
  <si>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</si>
  <si>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</si>
  <si>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</si>
  <si>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</si>
  <si>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</si>
  <si>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</si>
  <si>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</si>
  <si>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</si>
  <si>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</si>
  <si>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</si>
  <si>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</si>
  <si>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</si>
  <si>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</si>
  <si>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</si>
  <si>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</si>
  <si>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</si>
  <si>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</si>
  <si>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</si>
  <si>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</si>
  <si>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</si>
  <si>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</si>
  <si>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</si>
  <si>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</si>
  <si>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</si>
  <si>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</si>
  <si>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</si>
  <si>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</si>
  <si>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</si>
  <si>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</si>
  <si>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</si>
  <si>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</si>
  <si>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</si>
  <si>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</si>
  <si>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</si>
  <si>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</si>
  <si>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</si>
  <si>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</si>
  <si>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</si>
  <si>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</si>
  <si>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</si>
  <si>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</si>
  <si>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</si>
  <si>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</si>
  <si>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</si>
  <si>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</si>
  <si>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</si>
  <si>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</si>
  <si>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</si>
  <si>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</si>
  <si>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</si>
  <si>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</si>
  <si>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</si>
  <si>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</si>
  <si>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</si>
  <si>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</si>
  <si>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</si>
  <si>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</si>
  <si>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</si>
  <si>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</si>
  <si>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</si>
  <si>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</si>
  <si>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</si>
  <si>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</si>
  <si>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</si>
  <si>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</si>
  <si>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</si>
  <si>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</si>
  <si>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</si>
  <si>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</si>
  <si>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</si>
  <si>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</si>
  <si>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</si>
  <si>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</si>
  <si>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</si>
  <si>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</si>
  <si>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</si>
  <si>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</si>
  <si>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</si>
  <si>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</si>
  <si>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</si>
  <si>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</si>
  <si>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</si>
  <si>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</si>
  <si>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</si>
  <si>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</si>
  <si>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</si>
  <si>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</si>
  <si>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</si>
  <si>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</si>
  <si>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</si>
  <si>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</si>
  <si>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</si>
  <si>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</si>
  <si>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</si>
  <si>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</si>
  <si>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</si>
  <si>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</si>
  <si>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</si>
  <si>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</si>
  <si>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</si>
  <si>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</si>
  <si>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</si>
  <si>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</si>
  <si>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</si>
  <si>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</si>
  <si>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</si>
  <si>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</si>
  <si>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</si>
  <si>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</si>
  <si>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</si>
  <si>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</si>
  <si>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</si>
  <si>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</si>
  <si>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</si>
  <si>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</si>
  <si>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</si>
  <si>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</si>
  <si>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</si>
  <si>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</si>
  <si>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</si>
  <si>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</si>
  <si>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</si>
  <si>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</si>
  <si>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</si>
  <si>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</si>
  <si>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</si>
  <si>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</si>
  <si>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</si>
  <si>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</si>
  <si>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</si>
  <si>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</si>
  <si>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</si>
  <si>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</si>
  <si>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</si>
  <si>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</si>
  <si>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</si>
  <si>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</si>
  <si>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</si>
  <si>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</si>
  <si>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</si>
  <si>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</si>
  <si>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</si>
  <si>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</si>
  <si>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</si>
  <si>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</si>
  <si>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</si>
  <si>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</si>
  <si>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</si>
  <si>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</si>
  <si>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</si>
  <si>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</si>
  <si>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</si>
  <si>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</si>
  <si>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</si>
  <si>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</si>
  <si>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</si>
  <si>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</si>
  <si>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</si>
  <si>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</si>
  <si>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</si>
  <si>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</si>
  <si>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</si>
  <si>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</si>
  <si>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</si>
  <si>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</si>
  <si>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</si>
  <si>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</si>
  <si>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</si>
  <si>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</si>
  <si>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</si>
  <si>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</si>
  <si>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</si>
  <si>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</si>
  <si>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</si>
  <si>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</si>
  <si>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</si>
  <si>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</si>
  <si>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</si>
  <si>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</si>
  <si>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</si>
  <si>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</si>
  <si>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</si>
  <si>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</si>
  <si>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</si>
  <si>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</si>
  <si>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</si>
  <si>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</si>
  <si>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</si>
  <si>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</si>
  <si>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</si>
  <si>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</si>
  <si>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</si>
  <si>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</si>
  <si>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</si>
  <si>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</si>
  <si>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</si>
  <si>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</si>
  <si>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</si>
  <si>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</si>
  <si>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</si>
  <si>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</si>
  <si>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</si>
  <si>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</si>
  <si>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</si>
  <si>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</si>
  <si>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</si>
  <si>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</si>
  <si>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</si>
  <si>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</si>
  <si>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</si>
  <si>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</si>
  <si>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</si>
  <si>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</si>
  <si>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</si>
  <si>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</si>
  <si>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</si>
  <si>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</si>
  <si>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</si>
  <si>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</si>
  <si>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</si>
  <si>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</si>
  <si>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</si>
  <si>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</si>
  <si>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</si>
  <si>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</si>
  <si>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</si>
  <si>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</si>
  <si>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</si>
  <si>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</si>
  <si>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</si>
  <si>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</si>
  <si>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</si>
  <si>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</si>
  <si>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</si>
  <si>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</si>
  <si>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</si>
  <si>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</si>
  <si>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</si>
  <si>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</si>
  <si>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</si>
  <si>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</si>
  <si>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</si>
  <si>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</si>
  <si>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</si>
  <si>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</si>
  <si>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</si>
  <si>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</si>
  <si>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</si>
  <si>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</si>
  <si>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</si>
  <si>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</si>
  <si>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</si>
  <si>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</si>
  <si>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</si>
  <si>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</si>
  <si>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</si>
  <si>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</si>
  <si>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</si>
  <si>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</si>
  <si>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</si>
  <si>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</si>
  <si>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</si>
  <si>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</si>
  <si>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</si>
  <si>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</si>
  <si>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</si>
  <si>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</si>
  <si>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</si>
  <si>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</si>
  <si>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</si>
  <si>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</si>
  <si>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</si>
  <si>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</si>
  <si>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</si>
  <si>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</si>
  <si>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</si>
  <si>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</si>
  <si>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</si>
  <si>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</si>
  <si>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</si>
  <si>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</si>
  <si>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</si>
  <si>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</si>
  <si>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</si>
  <si>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</si>
  <si>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</si>
  <si>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</si>
  <si>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</si>
  <si>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</si>
  <si>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</si>
  <si>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</si>
  <si>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</si>
  <si>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</si>
  <si>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</si>
  <si>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</si>
  <si>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</si>
  <si>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</si>
  <si>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</si>
  <si>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</si>
  <si>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</si>
  <si>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</si>
  <si>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</si>
  <si>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</si>
  <si>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</si>
  <si>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</si>
  <si>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</si>
  <si>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</si>
  <si>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</si>
  <si>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</si>
  <si>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</si>
  <si>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</si>
  <si>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</si>
  <si>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</si>
  <si>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</si>
  <si>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</si>
  <si>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</si>
  <si>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</si>
  <si>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</si>
  <si>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</si>
  <si>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</si>
  <si>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</si>
  <si>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</si>
  <si>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</si>
  <si>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</si>
  <si>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</si>
  <si>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</si>
  <si>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</si>
  <si>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</si>
  <si>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</si>
  <si>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</si>
  <si>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</si>
  <si>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</si>
  <si>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</si>
  <si>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</si>
  <si>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</si>
  <si>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</si>
  <si>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</si>
  <si>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</si>
  <si>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</si>
  <si>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</si>
  <si>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</si>
  <si>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</si>
  <si>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</si>
  <si>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</si>
  <si>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</si>
  <si>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</si>
  <si>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</si>
  <si>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</si>
  <si>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</si>
  <si>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</si>
  <si>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</si>
  <si>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</si>
  <si>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</si>
  <si>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</si>
  <si>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</si>
  <si>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</si>
  <si>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</si>
  <si>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</si>
  <si>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</si>
  <si>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</si>
  <si>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</si>
  <si>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</si>
  <si>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</si>
  <si>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</si>
  <si>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</si>
  <si>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</si>
  <si>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</si>
  <si>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</si>
  <si>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</si>
  <si>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</si>
  <si>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</si>
  <si>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</si>
  <si>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</si>
  <si>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</si>
  <si>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</si>
  <si>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</si>
  <si>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</si>
  <si>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</si>
  <si>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</si>
  <si>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</si>
  <si>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</si>
  <si>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</si>
  <si>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</si>
  <si>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</si>
  <si>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</si>
  <si>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</si>
  <si>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</si>
  <si>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</si>
  <si>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</si>
  <si>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</si>
  <si>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</si>
  <si>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</si>
  <si>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</si>
  <si>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</si>
  <si>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</si>
  <si>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</si>
  <si>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</si>
  <si>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</si>
  <si>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</si>
  <si>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</si>
  <si>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</si>
  <si>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</si>
  <si>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</si>
  <si>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</si>
  <si>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</si>
  <si>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</si>
  <si>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</si>
  <si>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</si>
  <si>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</si>
  <si>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</si>
  <si>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</si>
  <si>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</si>
  <si>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</si>
  <si>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</si>
  <si>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</si>
  <si>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</si>
  <si>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</si>
  <si>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</si>
  <si>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</si>
  <si>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</si>
  <si>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</si>
  <si>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</si>
  <si>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</si>
  <si>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</si>
  <si>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</si>
  <si>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</si>
  <si>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</si>
  <si>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</si>
  <si>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</si>
  <si>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</si>
  <si>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</si>
  <si>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</si>
  <si>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</si>
  <si>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</si>
  <si>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</si>
  <si>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</si>
  <si>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</si>
  <si>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</si>
  <si>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</si>
  <si>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</si>
  <si>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</si>
  <si>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</si>
  <si>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</si>
  <si>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</si>
  <si>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</si>
  <si>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</si>
  <si>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</si>
  <si>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</si>
  <si>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</si>
  <si>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</si>
  <si>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</si>
  <si>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</si>
  <si>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</si>
  <si>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</si>
  <si>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</si>
  <si>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</si>
  <si>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</si>
  <si>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</si>
  <si>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</si>
  <si>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</si>
  <si>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</si>
  <si>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</si>
  <si>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</si>
  <si>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</si>
  <si>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</si>
  <si>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</si>
  <si>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</si>
  <si>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</si>
  <si>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</si>
  <si>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</si>
  <si>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</si>
  <si>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</si>
  <si>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</si>
  <si>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</si>
  <si>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</si>
  <si>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</si>
  <si>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</si>
  <si>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</si>
  <si>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</si>
  <si>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</si>
  <si>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</si>
  <si>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</si>
  <si>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</si>
  <si>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</si>
  <si>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</si>
  <si>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</si>
  <si>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</si>
  <si>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</si>
  <si>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</si>
  <si>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</si>
  <si>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</si>
  <si>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</si>
  <si>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</si>
  <si>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</si>
  <si>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</si>
  <si>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</si>
  <si>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</si>
  <si>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</si>
  <si>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</si>
  <si>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</si>
  <si>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</si>
  <si>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</si>
  <si>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</si>
  <si>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</si>
  <si>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</si>
  <si>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</si>
  <si>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</si>
  <si>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</si>
  <si>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</si>
  <si>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</si>
  <si>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</si>
  <si>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</si>
  <si>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</si>
  <si>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</si>
  <si>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</si>
  <si>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</si>
  <si>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</si>
  <si>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</si>
  <si>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</si>
  <si>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</si>
  <si>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</si>
  <si>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</si>
  <si>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</si>
  <si>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</si>
  <si>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</si>
  <si>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</si>
  <si>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</si>
  <si>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</si>
  <si>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</si>
  <si>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</si>
  <si>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</si>
  <si>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</si>
  <si>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</si>
  <si>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</si>
  <si>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</si>
  <si>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</si>
  <si>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</si>
  <si>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</si>
  <si>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</si>
  <si>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</si>
  <si>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</si>
  <si>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</si>
  <si>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</si>
  <si>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</si>
  <si>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</si>
  <si>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</si>
  <si>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</si>
  <si>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</si>
  <si>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</si>
  <si>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</si>
  <si>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</si>
  <si>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</si>
  <si>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</si>
  <si>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</si>
  <si>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</si>
  <si>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</si>
  <si>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</si>
  <si>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</si>
  <si>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</si>
  <si>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</si>
  <si>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</si>
  <si>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</si>
  <si>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</si>
  <si>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</si>
  <si>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</si>
  <si>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</si>
  <si>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</si>
  <si>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</si>
  <si>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</si>
  <si>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</si>
  <si>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</si>
  <si>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</si>
  <si>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</si>
  <si>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</si>
  <si>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</si>
  <si>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</si>
  <si>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</si>
  <si>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</si>
  <si>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</si>
  <si>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</si>
  <si>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</si>
  <si>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</si>
  <si>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</si>
  <si>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</si>
  <si>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</si>
  <si>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</si>
  <si>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</si>
  <si>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</si>
  <si>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</si>
  <si>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</si>
  <si>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</si>
  <si>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</si>
  <si>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</si>
  <si>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</si>
  <si>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</si>
  <si>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</si>
  <si>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</si>
  <si>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</si>
  <si>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</si>
  <si>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</si>
  <si>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</si>
  <si>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</si>
  <si>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</si>
  <si>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</si>
  <si>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</si>
  <si>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</si>
  <si>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</si>
  <si>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</si>
  <si>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</si>
  <si>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</si>
  <si>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</si>
  <si>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</si>
  <si>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</si>
  <si>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</si>
  <si>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</si>
  <si>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</si>
  <si>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</si>
  <si>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</si>
  <si>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</si>
  <si>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</si>
  <si>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</si>
  <si>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</si>
  <si>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</si>
  <si>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</si>
  <si>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</si>
  <si>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</si>
  <si>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</si>
  <si>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</si>
  <si>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</si>
  <si>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</si>
  <si>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</si>
  <si>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</si>
  <si>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</si>
  <si>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</si>
  <si>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</si>
  <si>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</si>
  <si>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</si>
  <si>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</si>
  <si>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</si>
  <si>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</si>
  <si>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</si>
  <si>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</si>
  <si>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</si>
  <si>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</si>
  <si>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</si>
  <si>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</si>
  <si>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</si>
  <si>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</si>
  <si>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</si>
  <si>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</si>
  <si>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</si>
  <si>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</si>
  <si>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</si>
  <si>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</si>
  <si>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</si>
  <si>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</si>
  <si>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</si>
  <si>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</si>
  <si>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</si>
  <si>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</si>
  <si>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</si>
  <si>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</si>
  <si>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</si>
  <si>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</si>
  <si>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</si>
  <si>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</si>
  <si>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</si>
  <si>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</si>
  <si>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</si>
  <si>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</si>
  <si>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</si>
  <si>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</si>
  <si>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</si>
  <si>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</si>
  <si>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</si>
  <si>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</si>
  <si>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</si>
  <si>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</si>
  <si>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</si>
  <si>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</si>
  <si>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</si>
  <si>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</si>
  <si>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</si>
  <si>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</si>
  <si>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</si>
  <si>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</si>
  <si>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</si>
  <si>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</si>
  <si>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</si>
  <si>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</si>
  <si>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</si>
  <si>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</si>
  <si>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</si>
  <si>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</si>
  <si>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</si>
  <si>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</si>
  <si>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</si>
  <si>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</si>
  <si>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</si>
  <si>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</si>
  <si>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</si>
  <si>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</si>
  <si>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</si>
  <si>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</si>
  <si>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</si>
  <si>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</si>
  <si>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</si>
  <si>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</si>
  <si>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</si>
  <si>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</si>
  <si>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</si>
  <si>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</si>
  <si>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</si>
  <si>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</si>
  <si>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</si>
  <si>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</si>
  <si>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</si>
  <si>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</si>
  <si>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</si>
  <si>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</si>
  <si>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</si>
  <si>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</si>
  <si>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</si>
  <si>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</si>
  <si>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</si>
  <si>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</si>
  <si>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</si>
  <si>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</si>
  <si>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</si>
  <si>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</si>
  <si>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</si>
  <si>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</si>
  <si>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</si>
  <si>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</si>
  <si>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</si>
  <si>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</si>
  <si>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</si>
  <si>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</si>
  <si>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</si>
  <si>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</si>
  <si>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</si>
  <si>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</si>
  <si>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</si>
  <si>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</si>
  <si>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</si>
  <si>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</si>
  <si>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</si>
  <si>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</si>
  <si>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</si>
  <si>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</si>
  <si>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</si>
  <si>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</si>
  <si>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</si>
  <si>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</si>
  <si>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</si>
  <si>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</si>
  <si>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</si>
  <si>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</si>
  <si>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</si>
  <si>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</si>
  <si>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</si>
  <si>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</si>
  <si>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</si>
  <si>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</si>
  <si>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</si>
  <si>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</si>
  <si>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</si>
  <si>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</si>
  <si>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</si>
  <si>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</si>
  <si>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</si>
  <si>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</si>
  <si>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</si>
  <si>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</si>
  <si>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</si>
  <si>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</si>
  <si>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</si>
  <si>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</si>
  <si>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</si>
  <si>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</si>
  <si>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</si>
  <si>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</si>
  <si>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</si>
  <si>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</si>
  <si>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</si>
  <si>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</si>
  <si>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</si>
  <si>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</si>
  <si>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</si>
  <si>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</si>
  <si>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</si>
  <si>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</si>
  <si>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</si>
  <si>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</si>
  <si>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</si>
  <si>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</si>
  <si>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</si>
  <si>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</si>
  <si>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</si>
  <si>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</si>
  <si>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</si>
  <si>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</si>
  <si>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</si>
  <si>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</si>
  <si>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</si>
  <si>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</si>
  <si>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</si>
  <si>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</si>
  <si>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</si>
  <si>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</si>
  <si>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</si>
  <si>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</si>
  <si>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</si>
  <si>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</si>
  <si>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</si>
  <si>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</si>
  <si>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</si>
  <si>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</si>
  <si>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</si>
  <si>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</si>
  <si>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</si>
  <si>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</si>
  <si>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</si>
  <si>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</si>
  <si>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</si>
  <si>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</si>
  <si>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</si>
  <si>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</si>
  <si>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</si>
  <si>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</si>
  <si>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</si>
  <si>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</si>
  <si>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</si>
  <si>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</si>
  <si>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</si>
  <si>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</si>
  <si>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</si>
  <si>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</si>
  <si>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</si>
  <si>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</si>
  <si>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</si>
  <si>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</si>
  <si>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</si>
  <si>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</si>
  <si>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</si>
  <si>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</si>
  <si>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</si>
  <si>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</si>
  <si>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</si>
  <si>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</si>
  <si>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</si>
  <si>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</si>
  <si>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</si>
  <si>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</si>
  <si>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</si>
  <si>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</si>
  <si>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</si>
  <si>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</si>
  <si>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</si>
  <si>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</si>
  <si>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</si>
  <si>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</si>
  <si>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</si>
  <si>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</si>
  <si>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</si>
  <si>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</si>
  <si>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</si>
  <si>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</si>
  <si>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</si>
  <si>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</si>
  <si>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</si>
  <si>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</si>
  <si>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</si>
  <si>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</si>
  <si>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</si>
  <si>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</si>
  <si>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</si>
  <si>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</si>
  <si>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</si>
  <si>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</si>
  <si>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</si>
  <si>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</si>
  <si>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</si>
  <si>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</si>
  <si>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</si>
  <si>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</si>
  <si>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</si>
  <si>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</si>
  <si>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</si>
  <si>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</si>
  <si>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</si>
  <si>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</si>
  <si>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</si>
  <si>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</si>
  <si>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</si>
  <si>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</si>
  <si>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</si>
  <si>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</si>
  <si>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</si>
  <si>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</si>
  <si>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</si>
  <si>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</si>
  <si>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</si>
  <si>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</si>
  <si>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</si>
  <si>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</si>
  <si>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</si>
  <si>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</si>
  <si>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</si>
  <si>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</si>
  <si>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</si>
  <si>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</si>
  <si>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</si>
  <si>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</si>
  <si>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</si>
  <si>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</si>
  <si>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</si>
  <si>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</si>
  <si>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</si>
  <si>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</si>
  <si>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</si>
  <si>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</si>
  <si>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</si>
  <si>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</si>
  <si>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</si>
  <si>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</si>
  <si>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</si>
  <si>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</si>
  <si>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</si>
  <si>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</si>
  <si>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</si>
  <si>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</si>
  <si>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</si>
  <si>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</si>
  <si>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</si>
  <si>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</si>
  <si>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</si>
  <si>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</si>
  <si>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</si>
  <si>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</si>
  <si>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</si>
  <si>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</si>
  <si>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</si>
  <si>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</si>
  <si>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</si>
  <si>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</si>
  <si>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</si>
  <si>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</si>
  <si>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</si>
  <si>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</si>
  <si>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</si>
  <si>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</si>
  <si>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</si>
  <si>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</si>
  <si>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</si>
  <si>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</si>
  <si>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</si>
  <si>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</si>
  <si>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</si>
  <si>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</si>
  <si>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</si>
  <si>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</si>
  <si>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</si>
  <si>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</si>
  <si>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</si>
  <si>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</si>
  <si>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</si>
  <si>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</si>
  <si>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</si>
  <si>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</si>
  <si>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</si>
  <si>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</si>
  <si>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</si>
  <si>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</si>
  <si>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</si>
  <si>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</si>
  <si>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</si>
  <si>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</si>
  <si>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</si>
  <si>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</si>
  <si>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</si>
  <si>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</si>
  <si>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</si>
  <si>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</si>
  <si>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</si>
  <si>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</si>
  <si>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</si>
  <si>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</si>
  <si>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</si>
  <si>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</si>
  <si>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</si>
  <si>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</si>
  <si>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</si>
  <si>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</si>
  <si>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</si>
  <si>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</si>
  <si>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</si>
  <si>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</si>
  <si>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</si>
  <si>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</si>
  <si>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</si>
  <si>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</si>
  <si>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</si>
  <si>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</si>
  <si>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</si>
  <si>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</si>
  <si>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</si>
  <si>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</si>
  <si>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</si>
  <si>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</si>
  <si>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</si>
  <si>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</si>
  <si>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</si>
  <si>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</si>
  <si>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</si>
  <si>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</si>
  <si>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</si>
  <si>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</si>
  <si>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</si>
  <si>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</si>
  <si>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</si>
  <si>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</si>
  <si>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</si>
  <si>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</si>
  <si>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</si>
  <si>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</si>
  <si>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</si>
  <si>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</si>
  <si>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</si>
  <si>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</si>
  <si>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</si>
  <si>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</si>
  <si>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</si>
  <si>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</si>
  <si>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</si>
  <si>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</si>
  <si>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</si>
  <si>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</si>
  <si>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</si>
  <si>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</si>
  <si>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</si>
  <si>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</si>
  <si>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</si>
  <si>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</si>
  <si>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</si>
  <si>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</si>
  <si>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</si>
  <si>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</si>
  <si>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</si>
  <si>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</si>
  <si>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</si>
  <si>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</si>
  <si>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</si>
  <si>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</si>
  <si>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</si>
  <si>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</si>
  <si>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</si>
  <si>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</si>
  <si>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</si>
  <si>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</si>
  <si>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</si>
  <si>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</si>
  <si>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</si>
  <si>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</si>
  <si>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</si>
  <si>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</si>
  <si>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</si>
  <si>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</si>
  <si>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</si>
  <si>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</si>
  <si>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</si>
  <si>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</si>
  <si>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</si>
  <si>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</si>
  <si>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</si>
  <si>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</si>
  <si>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</si>
  <si>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</si>
  <si>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</si>
  <si>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</si>
  <si>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</si>
  <si>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</si>
  <si>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</si>
  <si>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</si>
  <si>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</si>
  <si>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</si>
  <si>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</si>
  <si>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</si>
  <si>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</si>
  <si>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</si>
  <si>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</si>
  <si>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</si>
  <si>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</si>
  <si>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</si>
  <si>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</si>
  <si>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</si>
  <si>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</si>
  <si>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</si>
  <si>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</si>
  <si>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</si>
  <si>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</si>
  <si>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</si>
  <si>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</si>
  <si>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</si>
  <si>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</si>
  <si>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</si>
  <si>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</si>
  <si>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</si>
  <si>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</si>
  <si>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</si>
  <si>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</si>
  <si>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</si>
  <si>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</si>
  <si>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</si>
  <si>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</si>
  <si>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</si>
  <si>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</si>
  <si>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</si>
  <si>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</si>
  <si>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</si>
  <si>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</si>
  <si>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</si>
  <si>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</si>
  <si>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</si>
  <si>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</si>
  <si>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</si>
  <si>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</si>
  <si>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</si>
  <si>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</si>
  <si>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</si>
  <si>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</si>
  <si>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</si>
  <si>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</si>
  <si>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</si>
  <si>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</si>
  <si>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</si>
  <si>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</si>
  <si>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</si>
  <si>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</si>
  <si>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</si>
  <si>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</si>
  <si>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</si>
  <si>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</si>
  <si>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</si>
  <si>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</si>
  <si>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</si>
  <si>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</si>
  <si>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</si>
  <si>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</si>
  <si>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</si>
  <si>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</si>
  <si>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</si>
  <si>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</si>
  <si>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</si>
  <si>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</si>
  <si>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</si>
  <si>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</si>
  <si>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</si>
  <si>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</si>
  <si>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</si>
  <si>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</si>
  <si>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</si>
  <si>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</si>
  <si>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</si>
  <si>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</si>
  <si>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</si>
  <si>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</si>
  <si>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</si>
  <si>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</si>
  <si>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</si>
  <si>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</si>
  <si>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</si>
  <si>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</si>
  <si>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</si>
  <si>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</si>
  <si>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</si>
  <si>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</si>
  <si>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</si>
  <si>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</si>
  <si>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</si>
  <si>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</si>
  <si>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</si>
  <si>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</si>
  <si>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</si>
  <si>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</si>
  <si>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</si>
  <si>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</si>
  <si>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</si>
  <si>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</si>
  <si>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</si>
  <si>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</si>
  <si>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</si>
  <si>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</si>
  <si>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</si>
  <si>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</si>
  <si>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</si>
  <si>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</si>
  <si>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</si>
  <si>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</si>
  <si>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</si>
  <si>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</si>
  <si>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</si>
  <si>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</si>
  <si>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</si>
  <si>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</si>
  <si>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</si>
  <si>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</si>
  <si>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</si>
  <si>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</si>
  <si>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</si>
  <si>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</si>
  <si>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</si>
  <si>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</si>
  <si>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</si>
  <si>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</si>
  <si>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</si>
  <si>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</si>
  <si>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</si>
  <si>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</si>
  <si>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</si>
  <si>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</si>
  <si>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</si>
  <si>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</si>
  <si>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</si>
  <si>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</si>
  <si>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</si>
  <si>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</si>
  <si>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</si>
  <si>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</si>
  <si>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</si>
  <si>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</si>
  <si>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</si>
  <si>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</si>
  <si>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</si>
  <si>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</si>
  <si>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</si>
  <si>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</si>
  <si>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</si>
  <si>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</si>
  <si>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</si>
  <si>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</si>
  <si>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</si>
  <si>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</si>
  <si>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</si>
  <si>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</si>
  <si>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</si>
  <si>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</si>
  <si>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</si>
  <si>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</si>
  <si>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</si>
  <si>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</si>
  <si>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</si>
  <si>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</si>
  <si>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</si>
  <si>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</si>
  <si>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</si>
  <si>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</si>
  <si>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</si>
  <si>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</si>
  <si>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</si>
  <si>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</si>
  <si>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</si>
  <si>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</si>
  <si>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</si>
  <si>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</si>
  <si>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</si>
  <si>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</si>
  <si>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</si>
  <si>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</si>
  <si>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</si>
  <si>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</si>
  <si>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</si>
  <si>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</si>
  <si>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</si>
  <si>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</si>
  <si>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</si>
  <si>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</si>
  <si>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</si>
  <si>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</si>
  <si>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</si>
  <si>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</si>
  <si>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</si>
  <si>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</si>
  <si>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</si>
  <si>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</si>
  <si>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</si>
  <si>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</si>
  <si>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</si>
  <si>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</si>
  <si>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</si>
  <si>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</si>
  <si>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</si>
  <si>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</si>
  <si>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</si>
  <si>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</si>
  <si>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</si>
  <si>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</si>
  <si>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</si>
  <si>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</si>
  <si>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</si>
  <si>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</si>
  <si>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</si>
  <si>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</si>
  <si>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</si>
  <si>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</si>
  <si>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</si>
  <si>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</si>
  <si>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</si>
  <si>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</si>
  <si>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</si>
  <si>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</si>
  <si>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</si>
  <si>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</si>
  <si>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</si>
  <si>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</si>
  <si>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</si>
  <si>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</si>
  <si>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</si>
  <si>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</si>
  <si>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</si>
  <si>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</si>
  <si>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</si>
  <si>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</si>
  <si>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</si>
  <si>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</si>
  <si>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</si>
  <si>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</si>
  <si>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</si>
  <si>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</si>
  <si>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</si>
  <si>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</si>
  <si>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</si>
  <si>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</si>
  <si>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</si>
  <si>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</si>
  <si>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</si>
  <si>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</si>
  <si>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</si>
  <si>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</si>
  <si>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</si>
  <si>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</si>
  <si>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</si>
  <si>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</si>
  <si>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</si>
  <si>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</si>
  <si>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</si>
  <si>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</si>
  <si>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</si>
  <si>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</si>
  <si>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</si>
  <si>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</si>
  <si>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</si>
  <si>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</si>
  <si>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</si>
  <si>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</si>
  <si>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</si>
  <si>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</si>
  <si>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</si>
  <si>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</si>
  <si>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</si>
  <si>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</si>
  <si>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</si>
  <si>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</si>
  <si>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</si>
  <si>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</si>
  <si>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</si>
  <si>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</si>
  <si>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</si>
  <si>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</si>
  <si>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</si>
  <si>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</si>
  <si>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</si>
  <si>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</si>
  <si>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</si>
  <si>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</si>
  <si>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</si>
  <si>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</si>
  <si>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</si>
  <si>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</si>
  <si>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</si>
  <si>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</si>
  <si>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</si>
  <si>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</si>
  <si>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</si>
  <si>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</si>
  <si>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</si>
  <si>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</si>
  <si>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</si>
  <si>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</si>
  <si>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</si>
  <si>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</si>
  <si>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</si>
  <si>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</si>
  <si>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</si>
  <si>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</si>
  <si>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</si>
  <si>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</si>
  <si>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</si>
  <si>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</si>
  <si>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</si>
  <si>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</si>
  <si>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</si>
  <si>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</si>
  <si>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</si>
  <si>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</si>
  <si>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</si>
  <si>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</si>
  <si>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</si>
  <si>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</si>
  <si>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</si>
  <si>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</si>
  <si>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</si>
  <si>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</si>
  <si>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</si>
  <si>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</si>
  <si>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</si>
  <si>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</si>
  <si>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</si>
  <si>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</si>
  <si>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</si>
  <si>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</si>
  <si>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</si>
  <si>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</si>
  <si>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</si>
  <si>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</si>
  <si>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</si>
  <si>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</si>
  <si>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</si>
  <si>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</si>
  <si>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</si>
  <si>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</si>
  <si>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</si>
  <si>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</si>
  <si>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</si>
  <si>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</si>
  <si>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</si>
  <si>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</si>
  <si>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</si>
  <si>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</si>
  <si>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</si>
  <si>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</si>
  <si>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</si>
  <si>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</si>
  <si>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</si>
  <si>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</si>
  <si>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</si>
  <si>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</si>
  <si>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</si>
  <si>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</si>
  <si>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</si>
  <si>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</si>
  <si>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</si>
  <si>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</si>
  <si>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</si>
  <si>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</si>
  <si>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</si>
  <si>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</si>
  <si>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</si>
  <si>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</si>
  <si>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</si>
  <si>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</si>
  <si>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</si>
  <si>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</si>
  <si>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</si>
  <si>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</si>
  <si>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</si>
  <si>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</si>
  <si>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</si>
  <si>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</si>
  <si>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</si>
  <si>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</si>
  <si>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</si>
  <si>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</si>
  <si>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</si>
  <si>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</si>
  <si>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</si>
  <si>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</si>
  <si>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</si>
  <si>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</si>
  <si>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</si>
  <si>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</si>
  <si>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</si>
  <si>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</si>
  <si>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</si>
  <si>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</si>
  <si>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</si>
  <si>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</si>
  <si>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</si>
  <si>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</si>
  <si>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</si>
  <si>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</si>
  <si>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</si>
  <si>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</si>
  <si>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</si>
  <si>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</si>
  <si>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</si>
  <si>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</si>
  <si>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</si>
  <si>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</si>
  <si>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</si>
  <si>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</si>
  <si>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</si>
  <si>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</si>
  <si>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</si>
  <si>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</si>
  <si>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</si>
  <si>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</si>
  <si>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</si>
  <si>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</si>
  <si>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</si>
  <si>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</si>
  <si>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</si>
  <si>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</si>
  <si>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</si>
  <si>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</si>
  <si>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</si>
  <si>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</si>
  <si>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</si>
  <si>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</si>
  <si>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</si>
  <si>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</si>
  <si>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</si>
  <si>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</si>
  <si>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</si>
  <si>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</si>
  <si>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</si>
  <si>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</si>
  <si>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</si>
  <si>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</si>
  <si>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</si>
  <si>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</si>
  <si>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</si>
  <si>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</si>
  <si>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</si>
  <si>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</si>
  <si>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</si>
  <si>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</si>
  <si>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</si>
  <si>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</si>
  <si>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</si>
  <si>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</si>
  <si>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</si>
  <si>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</si>
  <si>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</si>
  <si>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</si>
  <si>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</si>
  <si>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</si>
  <si>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</si>
  <si>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</si>
  <si>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</si>
  <si>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</si>
  <si>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</si>
  <si>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</si>
  <si>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</si>
  <si>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</si>
  <si>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</si>
  <si>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</si>
  <si>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</si>
  <si>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</si>
  <si>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</si>
  <si>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</si>
  <si>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</si>
  <si>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</si>
  <si>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</si>
  <si>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</si>
  <si>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</si>
  <si>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</si>
  <si>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</si>
  <si>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</si>
  <si>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</si>
  <si>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</si>
  <si>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</si>
  <si>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</si>
  <si>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</si>
  <si>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</si>
  <si>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</si>
  <si>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</si>
  <si>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</si>
  <si>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</si>
  <si>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</si>
  <si>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</si>
  <si>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</si>
  <si>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</si>
  <si>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</si>
  <si>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</si>
  <si>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</si>
  <si>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</si>
  <si>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</si>
  <si>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</si>
  <si>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</si>
  <si>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</si>
  <si>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</si>
  <si>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</si>
  <si>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</si>
  <si>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</si>
  <si>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</si>
  <si>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</si>
  <si>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</si>
  <si>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</si>
  <si>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</si>
  <si>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</si>
  <si>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</si>
  <si>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</si>
  <si>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</si>
  <si>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</si>
  <si>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</si>
  <si>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</si>
  <si>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</si>
  <si>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</si>
  <si>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</si>
  <si>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</si>
  <si>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</si>
  <si>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</si>
  <si>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</si>
  <si>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</si>
  <si>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</si>
  <si>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</si>
  <si>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</si>
  <si>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</si>
  <si>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</si>
  <si>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</si>
  <si>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</si>
  <si>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</si>
  <si>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</si>
  <si>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</si>
  <si>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</si>
  <si>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</si>
  <si>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</si>
  <si>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</si>
  <si>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</si>
  <si>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</si>
  <si>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</si>
  <si>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</si>
  <si>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</si>
  <si>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</si>
  <si>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</si>
  <si>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</si>
  <si>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</si>
  <si>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</si>
  <si>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</si>
  <si>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</si>
  <si>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</si>
  <si>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</si>
  <si>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</si>
  <si>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</si>
  <si>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</si>
  <si>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</si>
  <si>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</si>
  <si>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</si>
  <si>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</si>
  <si>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</si>
  <si>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</si>
  <si>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</si>
  <si>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</si>
  <si>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</si>
  <si>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</si>
  <si>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</si>
  <si>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</si>
  <si>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</si>
  <si>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</si>
  <si>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</si>
  <si>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</si>
  <si>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</si>
  <si>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</si>
  <si>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</si>
  <si>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</si>
  <si>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</si>
  <si>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</si>
  <si>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</si>
  <si>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</si>
  <si>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</si>
  <si>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</si>
  <si>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</si>
  <si>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</si>
  <si>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</si>
  <si>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</si>
  <si>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</si>
  <si>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</si>
  <si>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</si>
  <si>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</si>
  <si>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</si>
  <si>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</si>
  <si>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</si>
  <si>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</si>
  <si>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</si>
  <si>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</si>
  <si>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</si>
  <si>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</si>
  <si>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</si>
  <si>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</si>
  <si>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</si>
  <si>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</si>
  <si>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</si>
  <si>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</si>
  <si>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</si>
  <si>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</si>
  <si>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</si>
  <si>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</si>
  <si>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</si>
  <si>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</si>
  <si>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</si>
  <si>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</si>
  <si>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</si>
  <si>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</si>
  <si>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</si>
  <si>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</si>
  <si>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</si>
  <si>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</si>
  <si>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</si>
  <si>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</si>
  <si>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</si>
  <si>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</si>
  <si>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</si>
  <si>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</si>
  <si>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</si>
  <si>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</si>
  <si>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</si>
  <si>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</si>
  <si>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</si>
  <si>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</si>
  <si>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</si>
  <si>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</si>
  <si>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</si>
  <si>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</si>
  <si>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</si>
  <si>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</si>
  <si>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</si>
  <si>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</si>
  <si>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</si>
  <si>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</si>
  <si>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</si>
  <si>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</si>
  <si>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</si>
  <si>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</si>
  <si>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</si>
  <si>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</si>
  <si>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</si>
  <si>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</si>
  <si>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</si>
  <si>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</si>
  <si>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</si>
  <si>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</si>
  <si>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</si>
  <si>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</si>
  <si>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</si>
  <si>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</si>
  <si>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</si>
  <si>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</si>
  <si>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</si>
  <si>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</si>
  <si>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</si>
  <si>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</si>
  <si>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</si>
  <si>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</si>
  <si>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</si>
  <si>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</si>
  <si>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</si>
  <si>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</si>
  <si>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</si>
  <si>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</si>
  <si>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</si>
  <si>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</si>
  <si>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</si>
  <si>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</si>
  <si>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</si>
  <si>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</si>
  <si>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</si>
  <si>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</si>
  <si>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</si>
  <si>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</si>
  <si>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</si>
  <si>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</si>
  <si>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</si>
  <si>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</si>
  <si>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</si>
  <si>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</si>
  <si>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</si>
  <si>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</si>
  <si>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</si>
  <si>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</si>
  <si>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</si>
  <si>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</si>
  <si>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</si>
  <si>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</si>
  <si>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</si>
  <si>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</si>
  <si>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</si>
  <si>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</si>
  <si>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</si>
  <si>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</si>
  <si>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</si>
  <si>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</si>
  <si>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</si>
  <si>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</si>
  <si>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</si>
  <si>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</si>
  <si>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</si>
  <si>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</si>
  <si>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</si>
  <si>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</si>
  <si>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</si>
  <si>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</si>
  <si>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</si>
  <si>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</si>
  <si>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</si>
  <si>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</si>
  <si>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</si>
  <si>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</si>
  <si>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</si>
  <si>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</si>
  <si>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</si>
  <si>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</si>
  <si>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</si>
  <si>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</si>
  <si>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</si>
  <si>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</si>
  <si>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</si>
  <si>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</si>
  <si>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</si>
  <si>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</si>
  <si>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</si>
  <si>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</si>
  <si>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</si>
  <si>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</si>
  <si>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</si>
  <si>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</si>
  <si>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</si>
  <si>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</si>
  <si>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</si>
  <si>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</si>
  <si>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</si>
  <si>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</si>
  <si>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</si>
  <si>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</si>
  <si>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</si>
  <si>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</si>
  <si>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</si>
  <si>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</si>
  <si>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</si>
  <si>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</si>
  <si>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</si>
  <si>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</si>
  <si>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</si>
  <si>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</si>
  <si>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</si>
  <si>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</si>
  <si>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</si>
  <si>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</si>
  <si>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</si>
  <si>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</si>
  <si>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</si>
  <si>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</si>
  <si>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</si>
  <si>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</si>
  <si>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</si>
  <si>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</si>
  <si>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</si>
  <si>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</si>
  <si>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</si>
  <si>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</si>
  <si>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</si>
  <si>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</si>
  <si>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</si>
  <si>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</si>
  <si>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</si>
  <si>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</si>
  <si>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</si>
  <si>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</si>
  <si>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</si>
  <si>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</si>
  <si>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</si>
  <si>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</si>
  <si>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</si>
  <si>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</si>
  <si>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</si>
  <si>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</si>
  <si>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</si>
  <si>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</si>
  <si>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</si>
  <si>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</si>
  <si>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</si>
  <si>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</si>
  <si>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</si>
  <si>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</si>
  <si>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</si>
  <si>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</si>
  <si>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</si>
  <si>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</si>
  <si>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</si>
  <si>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</si>
  <si>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</si>
  <si>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</si>
  <si>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</si>
  <si>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</si>
  <si>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</si>
  <si>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</si>
  <si>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</si>
  <si>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</si>
  <si>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</si>
  <si>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</si>
  <si>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</si>
  <si>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</si>
  <si>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</si>
  <si>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</si>
  <si>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</si>
  <si>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</si>
  <si>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</si>
  <si>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</si>
  <si>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</si>
  <si>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</si>
  <si>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</si>
  <si>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</si>
  <si>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</si>
  <si>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</si>
  <si>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</si>
  <si>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</si>
  <si>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</si>
  <si>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</si>
  <si>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</si>
  <si>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</si>
  <si>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</si>
  <si>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</si>
  <si>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</si>
  <si>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</si>
  <si>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</si>
  <si>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</si>
  <si>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</si>
  <si>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</si>
  <si>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</si>
  <si>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</si>
  <si>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</si>
  <si>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</si>
  <si>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</si>
  <si>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</si>
  <si>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</si>
  <si>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</si>
  <si>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</si>
  <si>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</si>
  <si>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</si>
  <si>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</si>
  <si>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</si>
  <si>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</si>
  <si>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</si>
  <si>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</si>
  <si>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</si>
  <si>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</si>
  <si>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</si>
  <si>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</si>
  <si>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</si>
  <si>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</si>
  <si>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</si>
  <si>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</si>
  <si>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</si>
  <si>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</si>
  <si>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</si>
  <si>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</si>
  <si>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</si>
  <si>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</si>
  <si>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</si>
  <si>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</si>
  <si>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</si>
  <si>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</si>
  <si>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</si>
  <si>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</si>
  <si>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</si>
  <si>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</si>
  <si>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</si>
  <si>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</si>
  <si>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</si>
  <si>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</si>
  <si>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</si>
  <si>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</si>
  <si>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</si>
  <si>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</si>
  <si>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</si>
  <si>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</si>
  <si>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</si>
  <si>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</si>
  <si>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</si>
  <si>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</si>
  <si>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</si>
  <si>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</si>
  <si>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</si>
  <si>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</si>
  <si>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</si>
  <si>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</si>
  <si>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</si>
  <si>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</si>
  <si>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</si>
  <si>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</si>
  <si>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</si>
  <si>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</si>
  <si>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</si>
  <si>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</si>
  <si>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</si>
  <si>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</si>
  <si>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</si>
  <si>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</si>
  <si>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</si>
  <si>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</si>
  <si>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</si>
  <si>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</si>
  <si>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</si>
  <si>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</si>
  <si>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</si>
  <si>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</si>
  <si>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</si>
  <si>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</si>
  <si>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</si>
  <si>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</si>
  <si>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</si>
  <si>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</si>
  <si>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</si>
  <si>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</si>
  <si>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</si>
  <si>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</si>
  <si>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</si>
  <si>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</si>
  <si>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</si>
  <si>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</si>
  <si>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</si>
  <si>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</si>
  <si>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</si>
  <si>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</si>
  <si>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</si>
  <si>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</si>
  <si>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</si>
  <si>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</si>
  <si>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</si>
  <si>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</si>
  <si>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</si>
  <si>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</si>
  <si>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</si>
  <si>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</si>
  <si>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</si>
  <si>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</si>
  <si>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</si>
  <si>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</si>
  <si>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</si>
  <si>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</si>
  <si>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</si>
  <si>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</si>
  <si>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</si>
  <si>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</si>
  <si>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</si>
  <si>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</si>
  <si>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</si>
  <si>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</si>
  <si>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</si>
  <si>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</si>
  <si>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</si>
  <si>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</si>
  <si>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</si>
  <si>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</si>
  <si>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</si>
  <si>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</si>
  <si>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</si>
  <si>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</si>
  <si>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</si>
  <si>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</si>
  <si>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</si>
  <si>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</si>
  <si>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</si>
  <si>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</si>
  <si>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</si>
  <si>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</si>
  <si>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</si>
  <si>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</si>
  <si>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</si>
  <si>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</si>
  <si>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</si>
  <si>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</si>
  <si>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</si>
  <si>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</si>
  <si>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</si>
  <si>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</si>
  <si>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</si>
  <si>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</si>
  <si>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</si>
  <si>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</si>
  <si>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</si>
  <si>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</si>
  <si>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</si>
  <si>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</si>
  <si>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</si>
  <si>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</si>
  <si>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</si>
  <si>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</si>
  <si>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</si>
  <si>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</si>
  <si>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</si>
  <si>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</si>
  <si>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</si>
  <si>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</si>
  <si>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</si>
  <si>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</si>
  <si>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</si>
  <si>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</si>
  <si>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</si>
  <si>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</si>
  <si>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</si>
  <si>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</si>
  <si>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</si>
  <si>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</si>
  <si>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</si>
  <si>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</si>
  <si>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</si>
  <si>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</si>
  <si>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</si>
  <si>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</si>
  <si>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</si>
  <si>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</si>
  <si>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</si>
  <si>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</si>
  <si>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</si>
  <si>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</si>
  <si>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</si>
  <si>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</si>
  <si>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</si>
  <si>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</si>
  <si>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</si>
  <si>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</si>
  <si>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</si>
  <si>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</si>
  <si>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</si>
  <si>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</si>
  <si>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</si>
  <si>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</si>
  <si>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</si>
  <si>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</si>
  <si>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</si>
  <si>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</si>
  <si>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</si>
  <si>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</si>
  <si>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</si>
  <si>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</si>
  <si>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</si>
  <si>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</si>
  <si>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</si>
  <si>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</si>
  <si>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</si>
  <si>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</si>
  <si>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</si>
  <si>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</si>
  <si>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</si>
  <si>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</si>
  <si>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</si>
  <si>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</si>
  <si>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</si>
  <si>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</si>
  <si>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</si>
  <si>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</si>
  <si>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</si>
  <si>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</si>
  <si>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</si>
  <si>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</si>
  <si>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</si>
  <si>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</si>
  <si>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</si>
  <si>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</si>
  <si>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</si>
  <si>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</si>
  <si>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</si>
  <si>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</si>
  <si>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</si>
  <si>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</si>
  <si>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</si>
  <si>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</si>
  <si>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</si>
  <si>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</si>
  <si>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</si>
  <si>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</si>
  <si>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</si>
  <si>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</si>
  <si>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</si>
  <si>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</si>
  <si>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</si>
  <si>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</si>
  <si>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</si>
  <si>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</si>
  <si>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</si>
  <si>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</si>
  <si>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</si>
  <si>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</si>
  <si>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</si>
  <si>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</si>
  <si>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</si>
  <si>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</si>
  <si>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</si>
  <si>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</si>
  <si>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</si>
  <si>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</si>
  <si>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</si>
  <si>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</si>
  <si>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</si>
  <si>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</si>
  <si>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</si>
  <si>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</si>
  <si>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</si>
  <si>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</si>
  <si>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</si>
  <si>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</si>
  <si>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</si>
  <si>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</si>
  <si>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</si>
  <si>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</si>
  <si>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</si>
  <si>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</si>
  <si>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</si>
  <si>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</si>
  <si>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</si>
  <si>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</si>
  <si>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</si>
  <si>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</si>
  <si>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</si>
  <si>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</si>
  <si>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</si>
  <si>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</si>
  <si>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</si>
  <si>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</si>
  <si>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</si>
  <si>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</si>
  <si>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</si>
  <si>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</si>
  <si>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</si>
  <si>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</si>
  <si>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</si>
  <si>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</si>
  <si>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</si>
  <si>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</si>
  <si>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</si>
  <si>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</si>
  <si>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</si>
  <si>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</si>
  <si>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</si>
  <si>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</si>
  <si>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</si>
  <si>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</si>
  <si>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</si>
  <si>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</si>
  <si>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</si>
  <si>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</si>
  <si>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</si>
  <si>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</si>
  <si>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</si>
  <si>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</si>
  <si>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</si>
  <si>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</si>
  <si>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</si>
  <si>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</si>
  <si>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</si>
  <si>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</si>
  <si>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</si>
  <si>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</si>
  <si>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</si>
  <si>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</si>
  <si>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</si>
  <si>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</si>
  <si>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</si>
  <si>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</si>
  <si>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</si>
  <si>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</si>
  <si>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</si>
  <si>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</si>
  <si>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</si>
  <si>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</si>
  <si>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</si>
  <si>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</si>
  <si>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</si>
  <si>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</si>
  <si>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</si>
  <si>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</si>
  <si>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</si>
  <si>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</si>
  <si>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</si>
  <si>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</si>
  <si>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</si>
  <si>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</si>
  <si>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</si>
  <si>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</si>
  <si>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</si>
  <si>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</si>
  <si>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</si>
  <si>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</si>
  <si>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</si>
  <si>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</si>
  <si>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</si>
  <si>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</si>
  <si>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</si>
  <si>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</si>
  <si>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</si>
  <si>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</si>
  <si>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</si>
  <si>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</si>
  <si>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</si>
  <si>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</si>
  <si>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</si>
  <si>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</si>
  <si>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</si>
  <si>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</si>
  <si>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</si>
  <si>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</si>
  <si>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</si>
  <si>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</si>
  <si>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</si>
  <si>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</si>
  <si>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</si>
  <si>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</si>
  <si>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</si>
  <si>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</si>
  <si>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</si>
  <si>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</si>
  <si>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</si>
  <si>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</si>
  <si>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</si>
  <si>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</si>
  <si>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</si>
  <si>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</si>
  <si>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</si>
  <si>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</si>
  <si>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</si>
  <si>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</si>
  <si>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</si>
  <si>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</si>
  <si>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</si>
  <si>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</si>
  <si>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</si>
  <si>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</si>
  <si>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</si>
  <si>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</si>
  <si>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</si>
  <si>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</si>
  <si>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</si>
  <si>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</si>
  <si>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</si>
  <si>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</si>
  <si>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</si>
  <si>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</si>
  <si>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</si>
  <si>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</si>
  <si>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</si>
  <si>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</si>
  <si>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</si>
  <si>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</si>
  <si>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</si>
  <si>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</si>
  <si>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</si>
  <si>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</si>
  <si>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</si>
  <si>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</si>
  <si>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</si>
  <si>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</si>
  <si>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</si>
  <si>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</si>
  <si>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</si>
  <si>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</si>
  <si>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</si>
  <si>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</si>
  <si>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</si>
  <si>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</si>
  <si>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</si>
  <si>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</si>
  <si>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</si>
  <si>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</si>
  <si>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</si>
  <si>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</si>
  <si>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</si>
  <si>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</si>
  <si>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</si>
  <si>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</si>
  <si>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</si>
  <si>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</si>
  <si>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</si>
  <si>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</si>
  <si>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</si>
  <si>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</si>
  <si>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</si>
  <si>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</si>
  <si>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</si>
  <si>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</si>
  <si>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</si>
  <si>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</si>
  <si>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</si>
  <si>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</si>
  <si>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</si>
  <si>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</si>
  <si>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</si>
  <si>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</si>
  <si>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</si>
  <si>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</si>
  <si>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</si>
  <si>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</si>
  <si>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</si>
  <si>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</si>
  <si>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</si>
  <si>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</si>
  <si>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</si>
  <si>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</si>
  <si>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</si>
  <si>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</si>
  <si>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</si>
  <si>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</si>
  <si>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</si>
  <si>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</si>
  <si>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</si>
  <si>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</si>
  <si>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</si>
  <si>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</si>
  <si>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</si>
  <si>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</si>
  <si>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</si>
  <si>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</si>
  <si>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Oct</t>
  </si>
  <si>
    <t>Nov</t>
  </si>
  <si>
    <t>Dec</t>
  </si>
  <si>
    <t>2020</t>
  </si>
  <si>
    <t>Years (Order Date)</t>
  </si>
  <si>
    <t>Months (Order Date)</t>
  </si>
  <si>
    <t>Arabica</t>
  </si>
  <si>
    <t>Excelsa</t>
  </si>
  <si>
    <t>Liberica</t>
  </si>
  <si>
    <t>Robusta</t>
  </si>
  <si>
    <t>Sum of Sales</t>
  </si>
  <si>
    <t>Aug</t>
  </si>
  <si>
    <t>Sep</t>
  </si>
  <si>
    <t>Jun</t>
  </si>
  <si>
    <t>Jul</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</si>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</sst>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 ;_-[$$-409]* \-#,##0.00\ ;_-[$$-409]* &quot;-&quot;??_ ;_-@_ "/>
    <numFmt numFmtId="168"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 fontId="0" fillId="0" borderId="0" xfId="0" applyNumberFormat="1"/>
    <xf numFmtId="168" fontId="0" fillId="0" borderId="0" xfId="0" applyNumberFormat="1"/>
  </cellXfs>
  <cellStyles count="1">
    <cellStyle name="Normal" xfId="0" builtinId="0"/>
  </cellStyles>
  <dxfs count="16">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border>
        <left style="thin">
          <color theme="0"/>
        </left>
        <right style="thin">
          <color theme="0"/>
        </right>
        <top style="thin">
          <color theme="0"/>
        </top>
        <bottom style="thin">
          <color theme="0"/>
        </bottom>
      </border>
    </dxf>
    <dxf>
      <font>
        <b val="0"/>
        <i val="0"/>
        <sz val="11"/>
        <color theme="0"/>
        <name val="Calibri"/>
        <family val="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0D6A57F5-F81C-452B-8ED5-5EFFEB47873E}">
      <tableStyleElement type="wholeTable" dxfId="15"/>
      <tableStyleElement type="headerRow" dxfId="14"/>
    </tableStyle>
    <tableStyle name="Purple Timeline Style" pivot="0" table="0" count="8" xr9:uid="{2BCDEBA7-DFDF-4FE1-9353-EF4303F16C40}">
      <tableStyleElement type="wholeTable" dxfId="13"/>
      <tableStyleElement type="headerRow" dxfId="12"/>
    </tableStyle>
  </tableStyles>
  <colors>
    <mruColors>
      <color rgb="FF3C1464"/>
      <color rgb="FFAFFFD3"/>
      <color rgb="FF00EE6C"/>
      <color rgb="FF005024"/>
      <color rgb="FF9650DC"/>
      <color rgb="FF97450D"/>
      <color rgb="FFE0CBF5"/>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Purple Slicer">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650D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[coffeeOrdersProject.xlsx]TotalSales!TotalSales</c:name>
    <c:fmtId val="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7450D"/>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DAC-45B3-B4C2-B35C53C10A51}"/>
            </c:ext>
          </c:extLst>
        </c:ser>
        <c:ser>
          <c:idx val="1"/>
          <c:order val="1"/>
          <c:tx>
            <c:strRef>
              <c:f>TotalSales!$D$3:$D$4</c:f>
              <c:strCache>
                <c:ptCount val="1"/>
                <c:pt idx="0">
                  <c:v>Excelsa</c:v>
                </c:pt>
              </c:strCache>
            </c:strRef>
          </c:tx>
          <c:spPr>
            <a:ln w="28575" cap="rnd">
              <a:solidFill>
                <a:srgbClr val="97450D"/>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DAC-45B3-B4C2-B35C53C10A51}"/>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DAC-45B3-B4C2-B35C53C10A51}"/>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1DAC-45B3-B4C2-B35C53C10A51}"/>
            </c:ext>
          </c:extLst>
        </c:ser>
        <c:dLbls>
          <c:showLegendKey val="0"/>
          <c:showVal val="0"/>
          <c:showCatName val="0"/>
          <c:showSerName val="0"/>
          <c:showPercent val="0"/>
          <c:showBubbleSize val="0"/>
        </c:dLbls>
        <c:smooth val="0"/>
        <c:axId val="2063883439"/>
        <c:axId val="2063883919"/>
      </c:lineChart>
      <c:catAx>
        <c:axId val="206388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919"/>
        <c:crosses val="autoZero"/>
        <c:auto val="1"/>
        <c:lblAlgn val="ctr"/>
        <c:lblOffset val="100"/>
        <c:noMultiLvlLbl val="0"/>
      </c:catAx>
      <c:valAx>
        <c:axId val="2063883919"/>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06388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[coffeeOrdersProject.xlsx]CountryBarChart!TotalSales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AFFFD3"/>
          </a:solidFill>
          <a:ln w="25400">
            <a:solidFill>
              <a:schemeClr val="bg1"/>
            </a:solidFill>
          </a:ln>
          <a:effectLst/>
        </c:spPr>
      </c:pivotFmt>
      <c:pivotFmt>
        <c:idx val="10"/>
        <c:spPr>
          <a:solidFill>
            <a:srgbClr val="00EE6C"/>
          </a:solidFill>
          <a:ln w="25400">
            <a:solidFill>
              <a:schemeClr val="bg1"/>
            </a:solidFill>
          </a:ln>
          <a:effectLst/>
        </c:spPr>
      </c:pivotFmt>
      <c:pivotFmt>
        <c:idx val="11"/>
        <c:spPr>
          <a:solidFill>
            <a:srgbClr val="005024"/>
          </a:solidFill>
          <a:ln w="254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AFFFD3"/>
              </a:solidFill>
              <a:ln w="25400">
                <a:solidFill>
                  <a:schemeClr val="bg1"/>
                </a:solidFill>
              </a:ln>
              <a:effectLst/>
            </c:spPr>
            <c:extLst>
              <c:ext xmlns:c16="http://schemas.microsoft.com/office/drawing/2014/chart" uri="{C3380CC4-5D6E-409C-BE32-E72D297353CC}">
                <c16:uniqueId val="{00000001-C0F8-482B-8B47-D1EC9A4F6D04}"/>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C0F8-482B-8B47-D1EC9A4F6D04}"/>
              </c:ext>
            </c:extLst>
          </c:dPt>
          <c:dPt>
            <c:idx val="2"/>
            <c:invertIfNegative val="0"/>
            <c:bubble3D val="0"/>
            <c:spPr>
              <a:solidFill>
                <a:srgbClr val="005024"/>
              </a:solidFill>
              <a:ln w="25400">
                <a:solidFill>
                  <a:schemeClr val="bg1"/>
                </a:solidFill>
              </a:ln>
              <a:effectLst/>
            </c:spPr>
            <c:extLst>
              <c:ext xmlns:c16="http://schemas.microsoft.com/office/drawing/2014/chart" uri="{C3380CC4-5D6E-409C-BE32-E72D297353CC}">
                <c16:uniqueId val="{00000005-C0F8-482B-8B47-D1EC9A4F6D04}"/>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C0F8-482B-8B47-D1EC9A4F6D04}"/>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[coffeeOrdersProject.xlsx]Top5Customers!TotalSales</c:name>
    <c:fmtId val="8"/>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5024"/>
          </a:solidFill>
          <a:ln w="25400">
            <a:solidFill>
              <a:schemeClr val="bg1"/>
            </a:solidFill>
          </a:ln>
          <a:effectLst/>
        </c:spPr>
      </c:pivotFmt>
      <c:pivotFmt>
        <c:idx val="2"/>
        <c:spPr>
          <a:solidFill>
            <a:srgbClr val="00EE6C"/>
          </a:solidFill>
          <a:ln w="25400">
            <a:solidFill>
              <a:schemeClr val="bg1"/>
            </a:solidFill>
          </a:ln>
          <a:effectLst/>
        </c:spPr>
      </c:pivotFmt>
      <c:pivotFmt>
        <c:idx val="3"/>
        <c:spPr>
          <a:solidFill>
            <a:srgbClr val="AFFFD3"/>
          </a:solidFill>
          <a:ln w="25400">
            <a:solidFill>
              <a:schemeClr val="bg1"/>
            </a:solidFill>
          </a:ln>
          <a:effectLst/>
        </c:spPr>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FFFD3"/>
          </a:solidFill>
          <a:ln w="25400">
            <a:solidFill>
              <a:schemeClr val="bg1"/>
            </a:solidFill>
          </a:ln>
          <a:effectLst/>
        </c:spPr>
      </c:pivotFmt>
      <c:pivotFmt>
        <c:idx val="6"/>
        <c:spPr>
          <a:solidFill>
            <a:srgbClr val="00EE6C"/>
          </a:solidFill>
          <a:ln w="25400">
            <a:solidFill>
              <a:schemeClr val="bg1"/>
            </a:solidFill>
          </a:ln>
          <a:effectLst/>
        </c:spPr>
      </c:pivotFmt>
      <c:pivotFmt>
        <c:idx val="7"/>
        <c:spPr>
          <a:solidFill>
            <a:srgbClr val="005024"/>
          </a:solidFill>
          <a:ln w="25400">
            <a:solidFill>
              <a:schemeClr val="bg1"/>
            </a:solidFill>
          </a:ln>
          <a:effectLst/>
        </c:spPr>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4CED-4D0D-AFCB-00347DAE85CA}"/>
              </c:ext>
            </c:extLst>
          </c:dPt>
          <c:dPt>
            <c:idx val="1"/>
            <c:invertIfNegative val="0"/>
            <c:bubble3D val="0"/>
            <c:extLst>
              <c:ext xmlns:c16="http://schemas.microsoft.com/office/drawing/2014/chart" uri="{C3380CC4-5D6E-409C-BE32-E72D297353CC}">
                <c16:uniqueId val="{00000001-4CED-4D0D-AFCB-00347DAE85CA}"/>
              </c:ext>
            </c:extLst>
          </c:dPt>
          <c:dPt>
            <c:idx val="2"/>
            <c:invertIfNegative val="0"/>
            <c:bubble3D val="0"/>
            <c:extLst>
              <c:ext xmlns:c16="http://schemas.microsoft.com/office/drawing/2014/chart" uri="{C3380CC4-5D6E-409C-BE32-E72D297353CC}">
                <c16:uniqueId val="{00000002-4CED-4D0D-AFCB-00347DAE85C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4CED-4D0D-AFCB-00347DAE85CA}"/>
            </c:ext>
          </c:extLst>
        </c:ser>
        <c:dLbls>
          <c:dLblPos val="outEnd"/>
          <c:showLegendKey val="0"/>
          <c:showVal val="1"/>
          <c:showCatName val="0"/>
          <c:showSerName val="0"/>
          <c:showPercent val="0"/>
          <c:showBubbleSize val="0"/>
        </c:dLbls>
        <c:gapWidth val="182"/>
        <c:axId val="2125449743"/>
        <c:axId val="1703859007"/>
      </c:barChart>
      <c:catAx>
        <c:axId val="2125449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703859007"/>
        <c:crosses val="autoZero"/>
        <c:auto val="1"/>
        <c:lblAlgn val="ctr"/>
        <c:lblOffset val="100"/>
        <c:noMultiLvlLbl val="0"/>
      </c:catAx>
      <c:valAx>
        <c:axId val="1703859007"/>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125449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EC23FFC8-3E19-62C2-AC60-591B03F9F563}"/>
            </a:ext>
          </a:extLst>
        </xdr:cNvPr>
        <xdr:cNvSpPr/>
      </xdr:nvSpPr>
      <xdr:spPr>
        <a:xfrm>
          <a:off x="114300" y="57150"/>
          <a:ext cx="15240000" cy="7620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800">
              <a:solidFill>
                <a:schemeClr val="bg1"/>
              </a:solidFill>
            </a:rPr>
            <a:t>COFFEE SALES DASHBOARD</a:t>
          </a:r>
        </a:p>
      </xdr:txBody>
    </xdr:sp>
    <xdr:clientData/>
  </xdr:twoCellAnchor>
  <xdr:twoCellAnchor>
    <xdr:from>
      <xdr:col>1</xdr:col>
      <xdr:colOff>0</xdr:colOff>
      <xdr:row>17</xdr:row>
      <xdr:rowOff>0</xdr:rowOff>
    </xdr:from>
    <xdr:to>
      <xdr:col>15</xdr:col>
      <xdr:colOff>0</xdr:colOff>
      <xdr:row>40</xdr:row>
      <xdr:rowOff>0</xdr:rowOff>
    </xdr:to>
    <xdr:graphicFrame macro="">
      <xdr:nvGraphicFramePr>
        <xdr:cNvPr id="4" name="Chart 3">
          <a:extLst>
            <a:ext uri="{FF2B5EF4-FFF2-40B4-BE49-F238E27FC236}">
              <a16:creationId xmlns:a16="http://schemas.microsoft.com/office/drawing/2014/main" id="{53D884C8-59E1-4B02-9087-80514B11B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6</xdr:row>
      <xdr:rowOff>0</xdr:rowOff>
    </xdr:from>
    <xdr:to>
      <xdr:col>18</xdr:col>
      <xdr:colOff>0</xdr:colOff>
      <xdr:row>16</xdr:row>
      <xdr:rowOff>0</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DC39D381-03DF-4942-A151-DE9F3D1E3DA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876300"/>
              <a:ext cx="9867900" cy="177165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editAs="oneCell">
    <xdr:from>
      <xdr:col>19</xdr:col>
      <xdr:colOff>0</xdr:colOff>
      <xdr:row>11</xdr:row>
      <xdr:rowOff>0</xdr:rowOff>
    </xdr:from>
    <xdr:to>
      <xdr:col>22</xdr:col>
      <xdr:colOff>0</xdr:colOff>
      <xdr:row>16</xdr:row>
      <xdr:rowOff>0</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4FB0DC4E-C556-402D-8DB6-EFF02CBCF50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096500" y="1695450"/>
              <a:ext cx="1828800"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0</xdr:rowOff>
    </xdr:from>
    <xdr:to>
      <xdr:col>26</xdr:col>
      <xdr:colOff>0</xdr:colOff>
      <xdr:row>10</xdr:row>
      <xdr:rowOff>0</xdr:rowOff>
    </xdr:to>
    <mc:AlternateContent xmlns:mc="http://schemas.openxmlformats.org/markup-compatibility/2006" xmlns:a14="http://schemas.microsoft.com/office/drawing/2010/main">
      <mc:Choice Requires="a14">
        <xdr:graphicFrame macro="">
          <xdr:nvGraphicFramePr>
            <xdr:cNvPr id="7" name="Roast Type Name">
              <a:extLst>
                <a:ext uri="{FF2B5EF4-FFF2-40B4-BE49-F238E27FC236}">
                  <a16:creationId xmlns:a16="http://schemas.microsoft.com/office/drawing/2014/main" id="{506E0D51-CE1B-4EC3-8719-2AF0D127AA3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096500" y="876300"/>
              <a:ext cx="3771900" cy="762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11</xdr:row>
      <xdr:rowOff>0</xdr:rowOff>
    </xdr:from>
    <xdr:to>
      <xdr:col>26</xdr:col>
      <xdr:colOff>0</xdr:colOff>
      <xdr:row>16</xdr:row>
      <xdr:rowOff>9525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6272C175-CA9E-4CE9-8549-226D2362A92D}"/>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2039600" y="1695450"/>
              <a:ext cx="1828800" cy="962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17</xdr:row>
      <xdr:rowOff>0</xdr:rowOff>
    </xdr:from>
    <xdr:to>
      <xdr:col>26</xdr:col>
      <xdr:colOff>0</xdr:colOff>
      <xdr:row>27</xdr:row>
      <xdr:rowOff>19050</xdr:rowOff>
    </xdr:to>
    <xdr:graphicFrame macro="">
      <xdr:nvGraphicFramePr>
        <xdr:cNvPr id="9" name="Chart 8">
          <a:extLst>
            <a:ext uri="{FF2B5EF4-FFF2-40B4-BE49-F238E27FC236}">
              <a16:creationId xmlns:a16="http://schemas.microsoft.com/office/drawing/2014/main" id="{1395EA26-B74E-43E8-89F1-EAE12CA6F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114298</xdr:colOff>
      <xdr:row>27</xdr:row>
      <xdr:rowOff>95250</xdr:rowOff>
    </xdr:from>
    <xdr:to>
      <xdr:col>25</xdr:col>
      <xdr:colOff>609599</xdr:colOff>
      <xdr:row>40</xdr:row>
      <xdr:rowOff>0</xdr:rowOff>
    </xdr:to>
    <xdr:graphicFrame macro="">
      <xdr:nvGraphicFramePr>
        <xdr:cNvPr id="10" name="Chart 9">
          <a:extLst>
            <a:ext uri="{FF2B5EF4-FFF2-40B4-BE49-F238E27FC236}">
              <a16:creationId xmlns:a16="http://schemas.microsoft.com/office/drawing/2014/main" id="{E244744D-57B6-4E4D-971C-4097884BA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 Chen" refreshedDate="45109.440718287035" createdVersion="8" refreshedVersion="8" minRefreshableVersion="3" recordCount="1000" xr:uid="{D4ABC68F-C6FA-4D15-A327-D619052F2CA5}">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4540367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64AD82-DFDF-4297-8147-CC4B779F6323}"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4">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4">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3"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00AADA-6F69-4A34-8BAC-73793538680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0"/>
          </reference>
        </references>
      </pivotArea>
    </chartFormat>
    <chartFormat chart="5" format="3">
      <pivotArea type="data" outline="0" fieldPosition="0">
        <references count="2">
          <reference field="4294967294" count="1" selected="0">
            <x v="0"/>
          </reference>
          <reference field="7"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7" count="1" selected="0">
            <x v="1"/>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C9B86B-0755-4E9C-B950-23AE01E6FCEB}"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2" format="8"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831491-5ABF-4CEB-B30A-4B026292506B}" sourceName="Size">
  <pivotTables>
    <pivotTable tabId="18" name="TotalSales"/>
    <pivotTable tabId="21" name="TotalSales"/>
    <pivotTable tabId="22" name="TotalSales"/>
  </pivotTables>
  <data>
    <tabular pivotCacheId="145403677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B546FA4-CF69-4363-8BAC-A711E0960B8D}" sourceName="Roast Type Name">
  <pivotTables>
    <pivotTable tabId="18" name="TotalSales"/>
    <pivotTable tabId="21" name="TotalSales"/>
    <pivotTable tabId="22" name="TotalSales"/>
  </pivotTables>
  <data>
    <tabular pivotCacheId="145403677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F434943-EF5E-4941-A7CB-AE0C370602FD}" sourceName="Loyalty Card">
  <pivotTables>
    <pivotTable tabId="18" name="TotalSales"/>
    <pivotTable tabId="21" name="TotalSales"/>
    <pivotTable tabId="22" name="TotalSales"/>
  </pivotTables>
  <data>
    <tabular pivotCacheId="1454036779">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8C9695A7-288A-470E-BCE4-9C4A3CA6A8F6}" cache="Slicer_Size" caption="Size" columnCount="2" rowHeight="241300"/>
  <slicer name="Roast Type Name" xr10:uid="{C0AED784-DA7C-4BAE-B020-67A14ACDCCF8}" cache="Slicer_Roast_Type_Name" caption="Roast Type Name" columnCount="3" rowHeight="241300"/>
  <slicer name="Loyalty Card" xr10:uid="{587040DF-39A0-4B0E-BB73-DB74C34D4C4F}" cache="Slicer_Loyalty_Card" caption="Loyalty Car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C2A6E8-7DB2-480F-AD81-055F571EC146}" name="Orders" displayName="Orders" ref="A1:P1001" totalsRowShown="0" headerRowDxfId="11">
  <autoFilter ref="A1:P1001" xr:uid="{E5C2A6E8-7DB2-480F-AD81-055F571EC146}"/>
  <tableColumns count="16">
    <tableColumn id="1" xr3:uid="{DF30AE40-CAC9-4CD6-8754-CA6F7DC4C264}" name="Order ID" dataDxfId="10"/>
    <tableColumn id="2" xr3:uid="{0FB86E5A-6C51-432D-A17E-0901CC53EE61}" name="Order Date" dataDxfId="9"/>
    <tableColumn id="3" xr3:uid="{6C74A95E-485F-4590-AF41-00AFC81615F8}" name="Customer ID" dataDxfId="8"/>
    <tableColumn id="4" xr3:uid="{8B6E52FD-9715-4EF4-81BB-FD1E72DBABEC}" name="Product ID"/>
    <tableColumn id="5" xr3:uid="{CED1776B-7B0B-4EC5-9E4A-B04595C9D856}" name="Quantity" dataDxfId="7"/>
    <tableColumn id="6" xr3:uid="{198F269A-7BC7-459C-9A81-615CC0BE283C}" name="Customer Name" dataDxfId="6">
      <calculatedColumnFormula>_xlfn.XLOOKUP(C2,customers!$A$1:$A$1001,customers!$B$1:$B$1001,,0)</calculatedColumnFormula>
    </tableColumn>
    <tableColumn id="7" xr3:uid="{C2352FC7-EA52-4933-B8A7-2FCB448D8F4A}" name="Email" dataDxfId="5">
      <calculatedColumnFormula>IF(_xlfn.XLOOKUP(C2,customers!$A$1:$A$1001,customers!$C$1:$C$1001,,0)=0,"",_xlfn.XLOOKUP(C2,customers!$A$1:$A$1001,customers!$C$1:$C$1001,,0))</calculatedColumnFormula>
    </tableColumn>
    <tableColumn id="8" xr3:uid="{F74E6C7D-8C12-43D7-B377-F6D4BE04DCCE}" name="Country" dataDxfId="4">
      <calculatedColumnFormula>_xlfn.XLOOKUP(C2,customers!$A$1:$A$1001,customers!$G$1:$G$1001,,0)</calculatedColumnFormula>
    </tableColumn>
    <tableColumn id="9" xr3:uid="{2E3AF4D2-D695-45E3-A48B-5672A873BDDB}" name="Coffee Type">
      <calculatedColumnFormula>INDEX(products!$A$1:$G$49,MATCH(orders!$D2,products!$A$1:$A$49,0),MATCH(orders!I$1,products!$A$1:$G$1,0))</calculatedColumnFormula>
    </tableColumn>
    <tableColumn id="10" xr3:uid="{D2C0EF1E-82FE-4C3D-A011-C22F671A0DC3}" name="Roast Type">
      <calculatedColumnFormula>INDEX(products!$A$1:$G$49,MATCH(orders!$D2,products!$A$1:$A$49,0),MATCH(orders!J$1,products!$A$1:$G$1,0))</calculatedColumnFormula>
    </tableColumn>
    <tableColumn id="11" xr3:uid="{E5C9AC81-84C0-48CE-A87A-1B0B2BDEBCFD}" name="Size" dataDxfId="3">
      <calculatedColumnFormula>INDEX(products!$A$1:$G$49,MATCH(orders!$D2,products!$A$1:$A$49,0),MATCH(orders!K$1,products!$A$1:$G$1,0))</calculatedColumnFormula>
    </tableColumn>
    <tableColumn id="12" xr3:uid="{CB2F1618-A3EA-40D0-A357-8FB1FA821B57}" name="Unit Price" dataDxfId="2">
      <calculatedColumnFormula>INDEX(products!$A$1:$G$49,MATCH(orders!$D2,products!$A$1:$A$49,0),MATCH(orders!L$1,products!$A$1:$G$1,0))</calculatedColumnFormula>
    </tableColumn>
    <tableColumn id="13" xr3:uid="{9DBCF243-C20A-4FB7-B13C-A2976EA47F95}" name="Sales" dataDxfId="1">
      <calculatedColumnFormula>L2*E2</calculatedColumnFormula>
    </tableColumn>
    <tableColumn id="14" xr3:uid="{15194FC8-28B6-4810-9CD3-BD15351D6DA5}" name="Coffee Type Name">
      <calculatedColumnFormula>IF(I2="Rob","Robusta",IF(I2="Exc","Excelsa",IF(I2="Ara","Arabica",IF(I2="Lib","Liberica",""))))</calculatedColumnFormula>
    </tableColumn>
    <tableColumn id="15" xr3:uid="{5C416F77-012F-48E4-8261-C171EFF861C6}" name="Roast Type Name">
      <calculatedColumnFormula>IF(J2="M","Medium",IF(J2="L","Light",IF(J2="D","Dark","")))</calculatedColumnFormula>
    </tableColumn>
    <tableColumn id="16" xr3:uid="{BC9778B6-9315-4CBA-A5C4-7C6CE4AEEC81}" name="Loyalty Card" dataDxfId="0">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6A383C0-538A-4085-BDFA-1C1382ACAB86}" sourceName="Order Date">
  <pivotTables>
    <pivotTable tabId="18" name="TotalSales"/>
    <pivotTable tabId="21" name="TotalSales"/>
    <pivotTable tabId="22" name="TotalSales"/>
  </pivotTables>
  <state minimalRefreshVersion="6" lastRefreshVersion="6" pivotCacheId="145403677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3936CFA-AF2E-401B-8D9C-B08906320623}"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AA65D-6F96-492B-9B49-9279D1144F91}">
  <dimension ref="A1:A17"/>
  <sheetViews>
    <sheetView showGridLines="0" tabSelected="1" zoomScale="82" zoomScaleNormal="82" workbookViewId="0">
      <selection activeCell="AJ63" sqref="AJ63"/>
    </sheetView>
  </sheetViews>
  <sheetFormatPr defaultRowHeight="14.5" x14ac:dyDescent="0.35"/>
  <cols>
    <col min="1" max="1" width="1.7265625" customWidth="1"/>
    <col min="16" max="16" width="1.7265625" customWidth="1"/>
    <col min="19" max="19" width="1.7265625" customWidth="1"/>
    <col min="23" max="23" width="1.7265625" customWidth="1"/>
  </cols>
  <sheetData>
    <row r="1" ht="5.15" customHeight="1" x14ac:dyDescent="0.35"/>
    <row r="6" ht="5.15" customHeight="1" x14ac:dyDescent="0.35"/>
    <row r="11" ht="5.15" customHeight="1" x14ac:dyDescent="0.35"/>
    <row r="17" ht="5.15" customHeight="1"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E01-5602-4697-9EC9-F41355B0C172}">
  <dimension ref="A3:F48"/>
  <sheetViews>
    <sheetView workbookViewId="0">
      <selection activeCell="G36" sqref="G36"/>
    </sheetView>
  </sheetViews>
  <sheetFormatPr defaultRowHeight="14.5" x14ac:dyDescent="0.35"/>
  <cols>
    <col min="1" max="1" width="13.1796875" bestFit="1" customWidth="1"/>
    <col min="2" max="2" width="22" bestFit="1" customWidth="1"/>
    <col min="3" max="3" width="20" bestFit="1" customWidth="1"/>
    <col min="4" max="4" width="7.453125" bestFit="1" customWidth="1"/>
    <col min="5" max="5" width="7.81640625" bestFit="1" customWidth="1"/>
    <col min="6" max="6" width="8.1796875" bestFit="1" customWidth="1"/>
  </cols>
  <sheetData>
    <row r="3" spans="1:6" x14ac:dyDescent="0.35">
      <c r="A3" s="6" t="s">
        <v>6214</v>
      </c>
      <c r="C3" s="6" t="s">
        <v>6196</v>
      </c>
    </row>
    <row r="4" spans="1:6" x14ac:dyDescent="0.35">
      <c r="A4" s="6" t="s">
        <v>6208</v>
      </c>
      <c r="B4" s="6" t="s">
        <v>6209</v>
      </c>
      <c r="C4" t="s">
        <v>6210</v>
      </c>
      <c r="D4" t="s">
        <v>6211</v>
      </c>
      <c r="E4" t="s">
        <v>6212</v>
      </c>
      <c r="F4" t="s">
        <v>6213</v>
      </c>
    </row>
    <row r="5" spans="1:6" x14ac:dyDescent="0.35">
      <c r="A5" t="s">
        <v>6198</v>
      </c>
      <c r="B5" t="s">
        <v>6199</v>
      </c>
      <c r="C5" s="7">
        <v>186.85499999999999</v>
      </c>
      <c r="D5" s="7">
        <v>305.97000000000003</v>
      </c>
      <c r="E5" s="7">
        <v>213.15999999999997</v>
      </c>
      <c r="F5" s="7">
        <v>123</v>
      </c>
    </row>
    <row r="6" spans="1:6" x14ac:dyDescent="0.35">
      <c r="B6" t="s">
        <v>6200</v>
      </c>
      <c r="C6" s="7">
        <v>251.96499999999997</v>
      </c>
      <c r="D6" s="7">
        <v>129.46</v>
      </c>
      <c r="E6" s="7">
        <v>434.03999999999996</v>
      </c>
      <c r="F6" s="7">
        <v>171.93999999999997</v>
      </c>
    </row>
    <row r="7" spans="1:6" x14ac:dyDescent="0.35">
      <c r="B7" t="s">
        <v>6201</v>
      </c>
      <c r="C7" s="7">
        <v>224.94499999999999</v>
      </c>
      <c r="D7" s="7">
        <v>349.12</v>
      </c>
      <c r="E7" s="7">
        <v>321.04000000000002</v>
      </c>
      <c r="F7" s="7">
        <v>126.035</v>
      </c>
    </row>
    <row r="8" spans="1:6" x14ac:dyDescent="0.35">
      <c r="B8" t="s">
        <v>6202</v>
      </c>
      <c r="C8" s="7">
        <v>307.12</v>
      </c>
      <c r="D8" s="7">
        <v>681.07499999999993</v>
      </c>
      <c r="E8" s="7">
        <v>533.70499999999993</v>
      </c>
      <c r="F8" s="7">
        <v>158.85</v>
      </c>
    </row>
    <row r="9" spans="1:6" x14ac:dyDescent="0.35">
      <c r="B9" t="s">
        <v>6203</v>
      </c>
      <c r="C9" s="7">
        <v>53.664999999999992</v>
      </c>
      <c r="D9" s="7">
        <v>83.025000000000006</v>
      </c>
      <c r="E9" s="7">
        <v>193.83499999999998</v>
      </c>
      <c r="F9" s="7">
        <v>68.039999999999992</v>
      </c>
    </row>
    <row r="10" spans="1:6" x14ac:dyDescent="0.35">
      <c r="B10" t="s">
        <v>6217</v>
      </c>
      <c r="C10" s="7">
        <v>163.01999999999998</v>
      </c>
      <c r="D10" s="7">
        <v>678.3599999999999</v>
      </c>
      <c r="E10" s="7">
        <v>171.04500000000002</v>
      </c>
      <c r="F10" s="7">
        <v>372.255</v>
      </c>
    </row>
    <row r="11" spans="1:6" x14ac:dyDescent="0.35">
      <c r="B11" t="s">
        <v>6218</v>
      </c>
      <c r="C11" s="7">
        <v>345.02</v>
      </c>
      <c r="D11" s="7">
        <v>273.86999999999995</v>
      </c>
      <c r="E11" s="7">
        <v>184.12999999999997</v>
      </c>
      <c r="F11" s="7">
        <v>201.11499999999998</v>
      </c>
    </row>
    <row r="12" spans="1:6" x14ac:dyDescent="0.35">
      <c r="B12" t="s">
        <v>6215</v>
      </c>
      <c r="C12" s="7">
        <v>334.89</v>
      </c>
      <c r="D12" s="7">
        <v>70.95</v>
      </c>
      <c r="E12" s="7">
        <v>134.23000000000002</v>
      </c>
      <c r="F12" s="7">
        <v>166.27499999999998</v>
      </c>
    </row>
    <row r="13" spans="1:6" x14ac:dyDescent="0.35">
      <c r="B13" t="s">
        <v>6216</v>
      </c>
      <c r="C13" s="7">
        <v>178.70999999999998</v>
      </c>
      <c r="D13" s="7">
        <v>166.1</v>
      </c>
      <c r="E13" s="7">
        <v>439.30999999999995</v>
      </c>
      <c r="F13" s="7">
        <v>492.9</v>
      </c>
    </row>
    <row r="14" spans="1:6" x14ac:dyDescent="0.35">
      <c r="B14" t="s">
        <v>6204</v>
      </c>
      <c r="C14" s="7">
        <v>301.98500000000001</v>
      </c>
      <c r="D14" s="7">
        <v>153.76499999999999</v>
      </c>
      <c r="E14" s="7">
        <v>215.55499999999998</v>
      </c>
      <c r="F14" s="7">
        <v>213.66499999999999</v>
      </c>
    </row>
    <row r="15" spans="1:6" x14ac:dyDescent="0.35">
      <c r="B15" t="s">
        <v>6205</v>
      </c>
      <c r="C15" s="7">
        <v>312.83499999999998</v>
      </c>
      <c r="D15" s="7">
        <v>63.249999999999993</v>
      </c>
      <c r="E15" s="7">
        <v>350.89500000000004</v>
      </c>
      <c r="F15" s="7">
        <v>96.405000000000001</v>
      </c>
    </row>
    <row r="16" spans="1:6" x14ac:dyDescent="0.35">
      <c r="B16" t="s">
        <v>6206</v>
      </c>
      <c r="C16" s="7">
        <v>265.62</v>
      </c>
      <c r="D16" s="7">
        <v>526.51499999999987</v>
      </c>
      <c r="E16" s="7">
        <v>187.06</v>
      </c>
      <c r="F16" s="7">
        <v>210.58999999999997</v>
      </c>
    </row>
    <row r="17" spans="1:6" x14ac:dyDescent="0.35">
      <c r="A17" t="s">
        <v>6207</v>
      </c>
      <c r="B17" t="s">
        <v>6199</v>
      </c>
      <c r="C17" s="7">
        <v>47.25</v>
      </c>
      <c r="D17" s="7">
        <v>65.805000000000007</v>
      </c>
      <c r="E17" s="7">
        <v>274.67500000000001</v>
      </c>
      <c r="F17" s="7">
        <v>179.22</v>
      </c>
    </row>
    <row r="18" spans="1:6" x14ac:dyDescent="0.35">
      <c r="B18" t="s">
        <v>6200</v>
      </c>
      <c r="C18" s="7">
        <v>745.44999999999993</v>
      </c>
      <c r="D18" s="7">
        <v>428.88499999999999</v>
      </c>
      <c r="E18" s="7">
        <v>194.17499999999998</v>
      </c>
      <c r="F18" s="7">
        <v>429.82999999999993</v>
      </c>
    </row>
    <row r="19" spans="1:6" x14ac:dyDescent="0.35">
      <c r="B19" t="s">
        <v>6201</v>
      </c>
      <c r="C19" s="7">
        <v>130.47</v>
      </c>
      <c r="D19" s="7">
        <v>271.48500000000001</v>
      </c>
      <c r="E19" s="7">
        <v>281.20499999999998</v>
      </c>
      <c r="F19" s="7">
        <v>231.63000000000002</v>
      </c>
    </row>
    <row r="20" spans="1:6" x14ac:dyDescent="0.35">
      <c r="B20" t="s">
        <v>6202</v>
      </c>
      <c r="C20" s="7">
        <v>27</v>
      </c>
      <c r="D20" s="7">
        <v>347.26</v>
      </c>
      <c r="E20" s="7">
        <v>147.51</v>
      </c>
      <c r="F20" s="7">
        <v>240.04</v>
      </c>
    </row>
    <row r="21" spans="1:6" x14ac:dyDescent="0.35">
      <c r="B21" t="s">
        <v>6203</v>
      </c>
      <c r="C21" s="7">
        <v>255.11499999999995</v>
      </c>
      <c r="D21" s="7">
        <v>541.73</v>
      </c>
      <c r="E21" s="7">
        <v>83.43</v>
      </c>
      <c r="F21" s="7">
        <v>59.079999999999991</v>
      </c>
    </row>
    <row r="22" spans="1:6" x14ac:dyDescent="0.35">
      <c r="B22" t="s">
        <v>6217</v>
      </c>
      <c r="C22" s="7">
        <v>584.78999999999985</v>
      </c>
      <c r="D22" s="7">
        <v>357.42999999999995</v>
      </c>
      <c r="E22" s="7">
        <v>355.34</v>
      </c>
      <c r="F22" s="7">
        <v>140.88</v>
      </c>
    </row>
    <row r="23" spans="1:6" x14ac:dyDescent="0.35">
      <c r="B23" t="s">
        <v>6218</v>
      </c>
      <c r="C23" s="7">
        <v>430.62</v>
      </c>
      <c r="D23" s="7">
        <v>227.42500000000001</v>
      </c>
      <c r="E23" s="7">
        <v>236.315</v>
      </c>
      <c r="F23" s="7">
        <v>414.58499999999992</v>
      </c>
    </row>
    <row r="24" spans="1:6" x14ac:dyDescent="0.35">
      <c r="B24" t="s">
        <v>6215</v>
      </c>
      <c r="C24" s="7">
        <v>22.5</v>
      </c>
      <c r="D24" s="7">
        <v>77.72</v>
      </c>
      <c r="E24" s="7">
        <v>60.5</v>
      </c>
      <c r="F24" s="7">
        <v>139.67999999999998</v>
      </c>
    </row>
    <row r="25" spans="1:6" x14ac:dyDescent="0.35">
      <c r="B25" t="s">
        <v>6216</v>
      </c>
      <c r="C25" s="7">
        <v>126.14999999999999</v>
      </c>
      <c r="D25" s="7">
        <v>195.11</v>
      </c>
      <c r="E25" s="7">
        <v>89.13</v>
      </c>
      <c r="F25" s="7">
        <v>302.65999999999997</v>
      </c>
    </row>
    <row r="26" spans="1:6" x14ac:dyDescent="0.35">
      <c r="B26" t="s">
        <v>6204</v>
      </c>
      <c r="C26" s="7">
        <v>376.03</v>
      </c>
      <c r="D26" s="7">
        <v>523.24</v>
      </c>
      <c r="E26" s="7">
        <v>440.96499999999997</v>
      </c>
      <c r="F26" s="7">
        <v>174.46999999999997</v>
      </c>
    </row>
    <row r="27" spans="1:6" x14ac:dyDescent="0.35">
      <c r="B27" t="s">
        <v>6205</v>
      </c>
      <c r="C27" s="7">
        <v>515.17999999999995</v>
      </c>
      <c r="D27" s="7">
        <v>142.56</v>
      </c>
      <c r="E27" s="7">
        <v>347.03999999999996</v>
      </c>
      <c r="F27" s="7">
        <v>104.08499999999999</v>
      </c>
    </row>
    <row r="28" spans="1:6" x14ac:dyDescent="0.35">
      <c r="B28" t="s">
        <v>6206</v>
      </c>
      <c r="C28" s="7">
        <v>95.859999999999985</v>
      </c>
      <c r="D28" s="7">
        <v>484.76</v>
      </c>
      <c r="E28" s="7">
        <v>94.17</v>
      </c>
      <c r="F28" s="7">
        <v>77.10499999999999</v>
      </c>
    </row>
    <row r="29" spans="1:6" x14ac:dyDescent="0.35">
      <c r="A29" t="s">
        <v>6219</v>
      </c>
      <c r="B29" t="s">
        <v>6199</v>
      </c>
      <c r="C29" s="7">
        <v>258.34500000000003</v>
      </c>
      <c r="D29" s="7">
        <v>139.625</v>
      </c>
      <c r="E29" s="7">
        <v>279.52000000000004</v>
      </c>
      <c r="F29" s="7">
        <v>160.19499999999999</v>
      </c>
    </row>
    <row r="30" spans="1:6" x14ac:dyDescent="0.35">
      <c r="B30" t="s">
        <v>6200</v>
      </c>
      <c r="C30" s="7">
        <v>342.2</v>
      </c>
      <c r="D30" s="7">
        <v>284.24999999999994</v>
      </c>
      <c r="E30" s="7">
        <v>251.83</v>
      </c>
      <c r="F30" s="7">
        <v>80.550000000000011</v>
      </c>
    </row>
    <row r="31" spans="1:6" x14ac:dyDescent="0.35">
      <c r="B31" t="s">
        <v>6201</v>
      </c>
      <c r="C31" s="7">
        <v>418.30499999999989</v>
      </c>
      <c r="D31" s="7">
        <v>468.125</v>
      </c>
      <c r="E31" s="7">
        <v>405.05500000000006</v>
      </c>
      <c r="F31" s="7">
        <v>253.15499999999997</v>
      </c>
    </row>
    <row r="32" spans="1:6" x14ac:dyDescent="0.35">
      <c r="B32" t="s">
        <v>6202</v>
      </c>
      <c r="C32" s="7">
        <v>102.32999999999998</v>
      </c>
      <c r="D32" s="7">
        <v>242.14000000000001</v>
      </c>
      <c r="E32" s="7">
        <v>554.875</v>
      </c>
      <c r="F32" s="7">
        <v>106.23999999999998</v>
      </c>
    </row>
    <row r="33" spans="1:6" x14ac:dyDescent="0.35">
      <c r="B33" t="s">
        <v>6203</v>
      </c>
      <c r="C33" s="7">
        <v>234.71999999999997</v>
      </c>
      <c r="D33" s="7">
        <v>133.08000000000001</v>
      </c>
      <c r="E33" s="7">
        <v>267.2</v>
      </c>
      <c r="F33" s="7">
        <v>272.68999999999994</v>
      </c>
    </row>
    <row r="34" spans="1:6" x14ac:dyDescent="0.35">
      <c r="B34" t="s">
        <v>6217</v>
      </c>
      <c r="C34" s="7">
        <v>430.39</v>
      </c>
      <c r="D34" s="7">
        <v>136.20500000000001</v>
      </c>
      <c r="E34" s="7">
        <v>209.6</v>
      </c>
      <c r="F34" s="7">
        <v>88.334999999999994</v>
      </c>
    </row>
    <row r="35" spans="1:6" x14ac:dyDescent="0.35">
      <c r="B35" t="s">
        <v>6218</v>
      </c>
      <c r="C35" s="7">
        <v>109.005</v>
      </c>
      <c r="D35" s="7">
        <v>393.57499999999999</v>
      </c>
      <c r="E35" s="7">
        <v>61.034999999999997</v>
      </c>
      <c r="F35" s="7">
        <v>199.48999999999998</v>
      </c>
    </row>
    <row r="36" spans="1:6" x14ac:dyDescent="0.35">
      <c r="B36" t="s">
        <v>6215</v>
      </c>
      <c r="C36" s="7">
        <v>287.52499999999998</v>
      </c>
      <c r="D36" s="7">
        <v>288.67</v>
      </c>
      <c r="E36" s="7">
        <v>125.58</v>
      </c>
      <c r="F36" s="7">
        <v>374.13499999999999</v>
      </c>
    </row>
    <row r="37" spans="1:6" x14ac:dyDescent="0.35">
      <c r="B37" t="s">
        <v>6216</v>
      </c>
      <c r="C37" s="7">
        <v>840.92999999999984</v>
      </c>
      <c r="D37" s="7">
        <v>409.875</v>
      </c>
      <c r="E37" s="7">
        <v>171.32999999999998</v>
      </c>
      <c r="F37" s="7">
        <v>221.43999999999997</v>
      </c>
    </row>
    <row r="38" spans="1:6" x14ac:dyDescent="0.35">
      <c r="B38" t="s">
        <v>6204</v>
      </c>
      <c r="C38" s="7">
        <v>299.07</v>
      </c>
      <c r="D38" s="7">
        <v>260.32499999999999</v>
      </c>
      <c r="E38" s="7">
        <v>584.64</v>
      </c>
      <c r="F38" s="7">
        <v>256.36500000000001</v>
      </c>
    </row>
    <row r="39" spans="1:6" x14ac:dyDescent="0.35">
      <c r="B39" t="s">
        <v>6205</v>
      </c>
      <c r="C39" s="7">
        <v>323.32499999999999</v>
      </c>
      <c r="D39" s="7">
        <v>565.57000000000005</v>
      </c>
      <c r="E39" s="7">
        <v>537.80999999999995</v>
      </c>
      <c r="F39" s="7">
        <v>189.47499999999999</v>
      </c>
    </row>
    <row r="40" spans="1:6" x14ac:dyDescent="0.35">
      <c r="B40" t="s">
        <v>6206</v>
      </c>
      <c r="C40" s="7">
        <v>399.48499999999996</v>
      </c>
      <c r="D40" s="7">
        <v>148.19999999999999</v>
      </c>
      <c r="E40" s="7">
        <v>388.21999999999997</v>
      </c>
      <c r="F40" s="7">
        <v>212.07499999999999</v>
      </c>
    </row>
    <row r="41" spans="1:6" x14ac:dyDescent="0.35">
      <c r="A41" t="s">
        <v>6220</v>
      </c>
      <c r="B41" t="s">
        <v>6199</v>
      </c>
      <c r="C41" s="7">
        <v>112.69499999999999</v>
      </c>
      <c r="D41" s="7">
        <v>166.32</v>
      </c>
      <c r="E41" s="7">
        <v>843.71499999999992</v>
      </c>
      <c r="F41" s="7">
        <v>146.685</v>
      </c>
    </row>
    <row r="42" spans="1:6" x14ac:dyDescent="0.35">
      <c r="B42" t="s">
        <v>6200</v>
      </c>
      <c r="C42" s="7">
        <v>114.87999999999998</v>
      </c>
      <c r="D42" s="7">
        <v>133.815</v>
      </c>
      <c r="E42" s="7">
        <v>91.175000000000011</v>
      </c>
      <c r="F42" s="7">
        <v>53.759999999999991</v>
      </c>
    </row>
    <row r="43" spans="1:6" x14ac:dyDescent="0.35">
      <c r="B43" t="s">
        <v>6201</v>
      </c>
      <c r="C43" s="7">
        <v>277.76</v>
      </c>
      <c r="D43" s="7">
        <v>175.41</v>
      </c>
      <c r="E43" s="7">
        <v>462.50999999999993</v>
      </c>
      <c r="F43" s="7">
        <v>399.52499999999998</v>
      </c>
    </row>
    <row r="44" spans="1:6" x14ac:dyDescent="0.35">
      <c r="B44" t="s">
        <v>6202</v>
      </c>
      <c r="C44" s="7">
        <v>197.89499999999998</v>
      </c>
      <c r="D44" s="7">
        <v>289.755</v>
      </c>
      <c r="E44" s="7">
        <v>88.545000000000002</v>
      </c>
      <c r="F44" s="7">
        <v>200.25499999999997</v>
      </c>
    </row>
    <row r="45" spans="1:6" x14ac:dyDescent="0.35">
      <c r="B45" t="s">
        <v>6203</v>
      </c>
      <c r="C45" s="7">
        <v>193.11499999999998</v>
      </c>
      <c r="D45" s="7">
        <v>212.49499999999998</v>
      </c>
      <c r="E45" s="7">
        <v>292.29000000000002</v>
      </c>
      <c r="F45" s="7">
        <v>304.46999999999997</v>
      </c>
    </row>
    <row r="46" spans="1:6" x14ac:dyDescent="0.35">
      <c r="B46" t="s">
        <v>6217</v>
      </c>
      <c r="C46" s="7">
        <v>179.79</v>
      </c>
      <c r="D46" s="7">
        <v>426.2</v>
      </c>
      <c r="E46" s="7">
        <v>170.08999999999997</v>
      </c>
      <c r="F46" s="7">
        <v>379.31</v>
      </c>
    </row>
    <row r="47" spans="1:6" x14ac:dyDescent="0.35">
      <c r="B47" t="s">
        <v>6218</v>
      </c>
      <c r="C47" s="7">
        <v>247.28999999999996</v>
      </c>
      <c r="D47" s="7">
        <v>246.685</v>
      </c>
      <c r="E47" s="7">
        <v>271.05499999999995</v>
      </c>
      <c r="F47" s="7">
        <v>141.69999999999999</v>
      </c>
    </row>
    <row r="48" spans="1:6" x14ac:dyDescent="0.35">
      <c r="B48" t="s">
        <v>6215</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C7238-8991-42C7-BE08-B08F7604E70E}">
  <dimension ref="A3:B6"/>
  <sheetViews>
    <sheetView workbookViewId="0">
      <selection activeCell="F34" sqref="F34"/>
    </sheetView>
  </sheetViews>
  <sheetFormatPr defaultRowHeight="14.5" x14ac:dyDescent="0.35"/>
  <cols>
    <col min="1" max="1" width="15.453125" bestFit="1" customWidth="1"/>
    <col min="2" max="2" width="12.1796875" bestFit="1" customWidth="1"/>
    <col min="3" max="3" width="7.453125" bestFit="1" customWidth="1"/>
    <col min="4" max="4" width="7.81640625" bestFit="1" customWidth="1"/>
    <col min="5" max="6" width="8.1796875" bestFit="1" customWidth="1"/>
  </cols>
  <sheetData>
    <row r="3" spans="1:2" x14ac:dyDescent="0.35">
      <c r="A3" s="6" t="s">
        <v>7</v>
      </c>
      <c r="B3" t="s">
        <v>6214</v>
      </c>
    </row>
    <row r="4" spans="1:2" x14ac:dyDescent="0.35">
      <c r="A4" t="s">
        <v>28</v>
      </c>
      <c r="B4" s="8">
        <v>2798.5050000000001</v>
      </c>
    </row>
    <row r="5" spans="1:2" x14ac:dyDescent="0.35">
      <c r="A5" t="s">
        <v>318</v>
      </c>
      <c r="B5" s="8">
        <v>6696.8649999999989</v>
      </c>
    </row>
    <row r="6" spans="1:2" x14ac:dyDescent="0.3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8607F-A049-4491-B08C-8CA24A36CD01}">
  <dimension ref="A3:B8"/>
  <sheetViews>
    <sheetView workbookViewId="0">
      <selection activeCell="R21" sqref="R21"/>
    </sheetView>
  </sheetViews>
  <sheetFormatPr defaultRowHeight="14.5" x14ac:dyDescent="0.35"/>
  <cols>
    <col min="1" max="1" width="17.7265625" bestFit="1" customWidth="1"/>
    <col min="2" max="2" width="12.1796875" bestFit="1" customWidth="1"/>
    <col min="3" max="3" width="7.453125" bestFit="1" customWidth="1"/>
    <col min="4" max="4" width="7.81640625" bestFit="1" customWidth="1"/>
    <col min="5" max="6" width="8.1796875" bestFit="1" customWidth="1"/>
  </cols>
  <sheetData>
    <row r="3" spans="1:2" x14ac:dyDescent="0.35">
      <c r="A3" s="6" t="s">
        <v>4</v>
      </c>
      <c r="B3" t="s">
        <v>6214</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N3" sqref="N3"/>
    </sheetView>
  </sheetViews>
  <sheetFormatPr defaultRowHeight="14.5" x14ac:dyDescent="0.35"/>
  <cols>
    <col min="1" max="1" width="16.54296875" bestFit="1" customWidth="1"/>
    <col min="2" max="2" width="13" bestFit="1" customWidth="1"/>
    <col min="3" max="3" width="17.453125" bestFit="1" customWidth="1"/>
    <col min="4" max="4" width="12" customWidth="1"/>
    <col min="5" max="5" width="10.453125" customWidth="1"/>
    <col min="6" max="6" width="23.7265625" bestFit="1" customWidth="1"/>
    <col min="7" max="7" width="39.453125" bestFit="1" customWidth="1"/>
    <col min="8" max="8" width="12.81640625" bestFit="1" customWidth="1"/>
    <col min="9" max="9" width="13.1796875" customWidth="1"/>
    <col min="10" max="10" width="12.453125" customWidth="1"/>
    <col min="11" max="11" width="6.26953125" bestFit="1" customWidth="1"/>
    <col min="12" max="12" width="11.26953125" customWidth="1"/>
    <col min="13" max="13" width="10.54296875" customWidth="1"/>
    <col min="14" max="14" width="18.81640625" customWidth="1"/>
    <col min="15" max="15" width="18.1796875" customWidth="1"/>
    <col min="16" max="16" width="14"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A2" sqref="A2"/>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15" zoomScaleNormal="115" workbookViewId="0">
      <selection activeCell="F2" sqref="F2"/>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Aaditya salvi</cp:lastModifiedBy>
  <cp:revision/>
  <dcterms:created xsi:type="dcterms:W3CDTF">2022-11-26T09:51:45Z</dcterms:created>
  <dcterms:modified xsi:type="dcterms:W3CDTF">2026-02-08T14:40:36Z</dcterms:modified>
  <cp:category/>
  <cp:contentStatus/>
</cp:coreProperties>
</file>